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tta\Works\AI-Workshop\"/>
    </mc:Choice>
  </mc:AlternateContent>
  <xr:revisionPtr revIDLastSave="0" documentId="8_{991B30CE-1DCF-4EFE-AF32-950C8444C6A1}" xr6:coauthVersionLast="47" xr6:coauthVersionMax="47" xr10:uidLastSave="{00000000-0000-0000-0000-000000000000}"/>
  <bookViews>
    <workbookView xWindow="-110" yWindow="-110" windowWidth="19420" windowHeight="11500" activeTab="1" xr2:uid="{1576D41F-6945-4F3B-948E-D0AD610EBAB1}"/>
  </bookViews>
  <sheets>
    <sheet name="Tourist-Number-Data" sheetId="1" r:id="rId1"/>
    <sheet name="Tourist-Expense-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/>
  <c r="G2" i="2"/>
  <c r="D3" i="2"/>
  <c r="G3" i="2"/>
  <c r="D4" i="2"/>
  <c r="G4" i="2"/>
  <c r="D5" i="2"/>
  <c r="G5" i="2"/>
  <c r="D6" i="2"/>
  <c r="G6" i="2"/>
  <c r="D7" i="2"/>
  <c r="G7" i="2"/>
  <c r="D8" i="2"/>
  <c r="G8" i="2"/>
  <c r="D9" i="2"/>
  <c r="G9" i="2"/>
  <c r="D10" i="2"/>
  <c r="G10" i="2"/>
  <c r="D11" i="2"/>
  <c r="G11" i="2"/>
  <c r="D12" i="2"/>
  <c r="G12" i="2"/>
  <c r="D13" i="2"/>
  <c r="G13" i="2"/>
  <c r="D14" i="2"/>
  <c r="G14" i="2"/>
  <c r="D15" i="2"/>
  <c r="G15" i="2"/>
  <c r="D16" i="2"/>
  <c r="G16" i="2"/>
  <c r="D17" i="2"/>
  <c r="G17" i="2"/>
  <c r="D18" i="2"/>
  <c r="G18" i="2"/>
  <c r="D19" i="2"/>
  <c r="G19" i="2"/>
  <c r="D20" i="2"/>
  <c r="G20" i="2"/>
  <c r="D21" i="2"/>
  <c r="G21" i="2"/>
  <c r="D22" i="2"/>
  <c r="G22" i="2"/>
  <c r="D23" i="2"/>
  <c r="G23" i="2"/>
  <c r="D24" i="2"/>
  <c r="G24" i="2"/>
  <c r="D25" i="2"/>
  <c r="G25" i="2"/>
  <c r="D26" i="2"/>
  <c r="G26" i="2"/>
  <c r="D27" i="2"/>
  <c r="G27" i="2"/>
  <c r="D28" i="2"/>
  <c r="G28" i="2"/>
  <c r="D29" i="2"/>
  <c r="G29" i="2"/>
  <c r="D30" i="2"/>
  <c r="G30" i="2"/>
  <c r="D31" i="2"/>
  <c r="G31" i="2"/>
  <c r="D32" i="2"/>
  <c r="G32" i="2"/>
  <c r="D33" i="2"/>
  <c r="G33" i="2"/>
  <c r="D34" i="2"/>
  <c r="G34" i="2"/>
  <c r="D35" i="2"/>
  <c r="G35" i="2"/>
  <c r="D36" i="2"/>
  <c r="G36" i="2"/>
  <c r="D37" i="2"/>
  <c r="G37" i="2"/>
  <c r="D38" i="2"/>
  <c r="G38" i="2"/>
  <c r="D39" i="2"/>
  <c r="G39" i="2"/>
  <c r="D40" i="2"/>
  <c r="G40" i="2"/>
  <c r="D41" i="2"/>
  <c r="G41" i="2"/>
  <c r="D42" i="2"/>
  <c r="G42" i="2"/>
  <c r="D43" i="2"/>
  <c r="G43" i="2"/>
  <c r="D44" i="2"/>
  <c r="G44" i="2"/>
  <c r="D45" i="2"/>
  <c r="G45" i="2"/>
  <c r="D46" i="2"/>
  <c r="G46" i="2"/>
  <c r="D47" i="2"/>
  <c r="G47" i="2"/>
  <c r="D48" i="2"/>
  <c r="G48" i="2"/>
  <c r="D49" i="2"/>
  <c r="G49" i="2"/>
  <c r="D50" i="2"/>
  <c r="G50" i="2"/>
  <c r="D51" i="2"/>
  <c r="G51" i="2"/>
  <c r="D52" i="2"/>
  <c r="G52" i="2"/>
  <c r="D53" i="2"/>
  <c r="G53" i="2"/>
  <c r="D54" i="2"/>
  <c r="G54" i="2"/>
  <c r="D55" i="2"/>
  <c r="G55" i="2"/>
  <c r="D56" i="2"/>
  <c r="G56" i="2"/>
  <c r="D57" i="2"/>
  <c r="G57" i="2"/>
  <c r="D58" i="2"/>
  <c r="G58" i="2"/>
  <c r="D59" i="2"/>
  <c r="G59" i="2"/>
  <c r="D60" i="2"/>
  <c r="G60" i="2"/>
  <c r="D61" i="2"/>
  <c r="G61" i="2"/>
  <c r="D62" i="2"/>
  <c r="G62" i="2"/>
  <c r="D63" i="2"/>
  <c r="G63" i="2"/>
  <c r="D64" i="2"/>
  <c r="G64" i="2"/>
  <c r="D65" i="2"/>
  <c r="G65" i="2"/>
  <c r="D66" i="2"/>
  <c r="G66" i="2"/>
  <c r="D67" i="2"/>
  <c r="G67" i="2"/>
  <c r="D68" i="2"/>
  <c r="G68" i="2"/>
  <c r="D69" i="2"/>
  <c r="G69" i="2"/>
  <c r="D70" i="2"/>
  <c r="G70" i="2"/>
  <c r="D71" i="2"/>
  <c r="G71" i="2"/>
  <c r="D72" i="2"/>
  <c r="G72" i="2"/>
  <c r="D73" i="2"/>
  <c r="G73" i="2"/>
  <c r="D74" i="2"/>
  <c r="G74" i="2"/>
  <c r="D75" i="2"/>
  <c r="G75" i="2"/>
  <c r="D76" i="2"/>
  <c r="G76" i="2"/>
  <c r="D77" i="2"/>
  <c r="G77" i="2"/>
  <c r="D78" i="2"/>
  <c r="G78" i="2"/>
  <c r="D79" i="2"/>
  <c r="G79" i="2"/>
  <c r="D80" i="2"/>
  <c r="G80" i="2"/>
  <c r="D81" i="2"/>
  <c r="G81" i="2"/>
  <c r="D82" i="2"/>
  <c r="G82" i="2"/>
  <c r="D83" i="2"/>
  <c r="G83" i="2"/>
  <c r="D84" i="2"/>
  <c r="G84" i="2"/>
  <c r="D85" i="2"/>
  <c r="G85" i="2"/>
  <c r="D86" i="2"/>
  <c r="G86" i="2"/>
  <c r="D87" i="2"/>
  <c r="G87" i="2"/>
  <c r="D88" i="2"/>
  <c r="G88" i="2"/>
  <c r="D89" i="2"/>
  <c r="G89" i="2"/>
  <c r="D90" i="2"/>
  <c r="G90" i="2"/>
  <c r="D91" i="2"/>
  <c r="G91" i="2"/>
  <c r="D92" i="2"/>
  <c r="G92" i="2"/>
  <c r="D93" i="2"/>
  <c r="G93" i="2"/>
  <c r="D94" i="2"/>
  <c r="G94" i="2"/>
  <c r="D95" i="2"/>
  <c r="G95" i="2"/>
  <c r="D96" i="2"/>
  <c r="G96" i="2"/>
  <c r="D97" i="2"/>
  <c r="G97" i="2"/>
  <c r="D98" i="2"/>
  <c r="G98" i="2"/>
  <c r="D99" i="2"/>
  <c r="G99" i="2"/>
  <c r="D100" i="2"/>
  <c r="G100" i="2"/>
  <c r="D101" i="2"/>
  <c r="G101" i="2"/>
  <c r="D102" i="2"/>
  <c r="G102" i="2"/>
  <c r="D103" i="2"/>
  <c r="G103" i="2"/>
  <c r="D104" i="2"/>
  <c r="G104" i="2"/>
  <c r="D105" i="2"/>
  <c r="G105" i="2"/>
  <c r="D106" i="2"/>
  <c r="G106" i="2"/>
  <c r="D107" i="2"/>
  <c r="G107" i="2"/>
  <c r="D108" i="2"/>
  <c r="G108" i="2"/>
  <c r="D109" i="2"/>
  <c r="G109" i="2"/>
  <c r="D110" i="2"/>
  <c r="G110" i="2"/>
  <c r="D111" i="2"/>
  <c r="G111" i="2"/>
  <c r="D112" i="2"/>
  <c r="G112" i="2"/>
  <c r="D113" i="2"/>
  <c r="G113" i="2"/>
  <c r="D114" i="2"/>
  <c r="G114" i="2"/>
  <c r="D115" i="2"/>
  <c r="G115" i="2"/>
  <c r="D116" i="2"/>
  <c r="G116" i="2"/>
  <c r="D117" i="2"/>
  <c r="G117" i="2"/>
  <c r="D118" i="2"/>
  <c r="G118" i="2"/>
  <c r="D119" i="2"/>
  <c r="G119" i="2"/>
  <c r="D120" i="2"/>
  <c r="G120" i="2"/>
  <c r="D121" i="2"/>
  <c r="G121" i="2"/>
  <c r="D122" i="2"/>
  <c r="G122" i="2"/>
  <c r="D123" i="2"/>
  <c r="G123" i="2"/>
  <c r="D124" i="2"/>
  <c r="G124" i="2"/>
  <c r="D125" i="2"/>
  <c r="G125" i="2"/>
  <c r="D126" i="2"/>
  <c r="G126" i="2"/>
  <c r="D127" i="2"/>
  <c r="G127" i="2"/>
  <c r="D128" i="2"/>
  <c r="G128" i="2"/>
  <c r="D129" i="2"/>
  <c r="G129" i="2"/>
  <c r="D130" i="2"/>
  <c r="G130" i="2"/>
  <c r="D131" i="2"/>
  <c r="G131" i="2"/>
  <c r="D132" i="2"/>
  <c r="G132" i="2"/>
  <c r="D133" i="2"/>
  <c r="G133" i="2"/>
  <c r="D134" i="2"/>
  <c r="G134" i="2"/>
  <c r="D135" i="2"/>
  <c r="G135" i="2"/>
  <c r="D136" i="2"/>
  <c r="G136" i="2"/>
  <c r="D137" i="2"/>
  <c r="G137" i="2"/>
  <c r="D138" i="2"/>
  <c r="G138" i="2"/>
  <c r="D139" i="2"/>
  <c r="G139" i="2"/>
  <c r="D140" i="2"/>
  <c r="G140" i="2"/>
  <c r="D141" i="2"/>
  <c r="G141" i="2"/>
  <c r="D142" i="2"/>
  <c r="G142" i="2"/>
  <c r="D143" i="2"/>
  <c r="G143" i="2"/>
  <c r="D144" i="2"/>
  <c r="G144" i="2"/>
  <c r="D145" i="2"/>
  <c r="G145" i="2"/>
  <c r="D146" i="2"/>
  <c r="G146" i="2"/>
  <c r="D147" i="2"/>
  <c r="G147" i="2"/>
  <c r="D148" i="2"/>
  <c r="G148" i="2"/>
  <c r="D149" i="2"/>
  <c r="G149" i="2"/>
  <c r="D150" i="2"/>
  <c r="G150" i="2"/>
  <c r="D151" i="2"/>
  <c r="G151" i="2"/>
  <c r="D152" i="2"/>
  <c r="G152" i="2"/>
  <c r="D153" i="2"/>
  <c r="G153" i="2"/>
  <c r="D154" i="2"/>
  <c r="G154" i="2"/>
  <c r="D155" i="2"/>
  <c r="G155" i="2"/>
  <c r="D156" i="2"/>
  <c r="G156" i="2"/>
  <c r="D157" i="2"/>
  <c r="G157" i="2"/>
  <c r="D158" i="2"/>
  <c r="G158" i="2"/>
  <c r="D159" i="2"/>
  <c r="G159" i="2"/>
  <c r="D160" i="2"/>
  <c r="G160" i="2"/>
  <c r="D161" i="2"/>
  <c r="G161" i="2"/>
  <c r="D162" i="2"/>
  <c r="G162" i="2"/>
  <c r="D163" i="2"/>
  <c r="G163" i="2"/>
  <c r="D164" i="2"/>
  <c r="G164" i="2"/>
  <c r="D165" i="2"/>
  <c r="G165" i="2"/>
  <c r="D166" i="2"/>
  <c r="G166" i="2"/>
  <c r="D167" i="2"/>
  <c r="G167" i="2"/>
  <c r="D168" i="2"/>
  <c r="G168" i="2"/>
  <c r="D169" i="2"/>
  <c r="G169" i="2"/>
  <c r="D170" i="2"/>
  <c r="G170" i="2"/>
  <c r="D171" i="2"/>
  <c r="G171" i="2"/>
  <c r="D172" i="2"/>
  <c r="G172" i="2"/>
  <c r="D173" i="2"/>
  <c r="G173" i="2"/>
  <c r="D174" i="2"/>
  <c r="G174" i="2"/>
  <c r="D175" i="2"/>
  <c r="G175" i="2"/>
  <c r="D176" i="2"/>
  <c r="G176" i="2"/>
  <c r="D177" i="2"/>
  <c r="G177" i="2"/>
  <c r="D178" i="2"/>
  <c r="G178" i="2"/>
  <c r="D179" i="2"/>
  <c r="G179" i="2"/>
  <c r="D180" i="2"/>
  <c r="G180" i="2"/>
  <c r="D181" i="2"/>
  <c r="G181" i="2"/>
  <c r="D182" i="2"/>
  <c r="G182" i="2"/>
  <c r="D183" i="2"/>
  <c r="G183" i="2"/>
  <c r="D184" i="2"/>
  <c r="G184" i="2"/>
  <c r="D185" i="2"/>
  <c r="G185" i="2"/>
  <c r="D186" i="2"/>
  <c r="G186" i="2"/>
  <c r="D187" i="2"/>
  <c r="G187" i="2"/>
  <c r="D188" i="2"/>
  <c r="G188" i="2"/>
  <c r="D189" i="2"/>
  <c r="G189" i="2"/>
  <c r="D190" i="2"/>
  <c r="G190" i="2"/>
  <c r="D191" i="2"/>
  <c r="G191" i="2"/>
  <c r="D192" i="2"/>
  <c r="G192" i="2"/>
  <c r="D193" i="2"/>
  <c r="G193" i="2"/>
  <c r="D194" i="2"/>
  <c r="G194" i="2"/>
  <c r="D195" i="2"/>
  <c r="G195" i="2"/>
  <c r="D196" i="2"/>
  <c r="G196" i="2"/>
  <c r="D197" i="2"/>
  <c r="G197" i="2"/>
  <c r="D198" i="2"/>
  <c r="G198" i="2"/>
  <c r="D199" i="2"/>
  <c r="G199" i="2"/>
  <c r="D200" i="2"/>
  <c r="G200" i="2"/>
  <c r="D201" i="2"/>
  <c r="G201" i="2"/>
  <c r="D202" i="2"/>
  <c r="G202" i="2"/>
  <c r="D203" i="2"/>
  <c r="G203" i="2"/>
  <c r="D204" i="2"/>
  <c r="G204" i="2"/>
  <c r="D205" i="2"/>
  <c r="G205" i="2"/>
  <c r="D206" i="2"/>
  <c r="G206" i="2"/>
  <c r="D207" i="2"/>
  <c r="G207" i="2"/>
  <c r="D208" i="2"/>
  <c r="G208" i="2"/>
  <c r="D209" i="2"/>
  <c r="G209" i="2"/>
  <c r="D210" i="2"/>
  <c r="G210" i="2"/>
  <c r="D211" i="2"/>
  <c r="G211" i="2"/>
  <c r="D212" i="2"/>
  <c r="G212" i="2"/>
  <c r="D213" i="2"/>
  <c r="G213" i="2"/>
  <c r="D214" i="2"/>
  <c r="G214" i="2"/>
  <c r="D215" i="2"/>
  <c r="G215" i="2"/>
  <c r="D216" i="2"/>
  <c r="G216" i="2"/>
  <c r="D217" i="2"/>
  <c r="G217" i="2"/>
  <c r="D218" i="2"/>
  <c r="G218" i="2"/>
  <c r="D219" i="2"/>
  <c r="G219" i="2"/>
  <c r="D220" i="2"/>
  <c r="G220" i="2"/>
  <c r="D221" i="2"/>
  <c r="G221" i="2"/>
  <c r="D222" i="2"/>
  <c r="G222" i="2"/>
  <c r="D223" i="2"/>
  <c r="G223" i="2"/>
  <c r="D224" i="2"/>
  <c r="G224" i="2"/>
  <c r="D225" i="2"/>
  <c r="G225" i="2"/>
  <c r="D226" i="2"/>
  <c r="G226" i="2"/>
  <c r="D227" i="2"/>
  <c r="G227" i="2"/>
  <c r="D228" i="2"/>
  <c r="G228" i="2"/>
  <c r="D229" i="2"/>
  <c r="G229" i="2"/>
  <c r="D230" i="2"/>
  <c r="G230" i="2"/>
  <c r="D231" i="2"/>
  <c r="G231" i="2"/>
  <c r="D232" i="2"/>
  <c r="G232" i="2"/>
  <c r="D233" i="2"/>
  <c r="G233" i="2"/>
  <c r="D234" i="2"/>
  <c r="G234" i="2"/>
  <c r="D235" i="2"/>
  <c r="G235" i="2"/>
  <c r="D236" i="2"/>
  <c r="G236" i="2"/>
  <c r="D237" i="2"/>
  <c r="G237" i="2"/>
  <c r="D238" i="2"/>
  <c r="G238" i="2"/>
  <c r="D239" i="2"/>
  <c r="G239" i="2"/>
  <c r="D240" i="2"/>
  <c r="G240" i="2"/>
  <c r="D241" i="2"/>
  <c r="G241" i="2"/>
  <c r="D242" i="2"/>
  <c r="G242" i="2"/>
  <c r="D243" i="2"/>
  <c r="G243" i="2"/>
  <c r="D244" i="2"/>
  <c r="G244" i="2"/>
  <c r="D245" i="2"/>
  <c r="G245" i="2"/>
  <c r="D246" i="2"/>
  <c r="G246" i="2"/>
  <c r="D247" i="2"/>
  <c r="G247" i="2"/>
  <c r="D248" i="2"/>
  <c r="G248" i="2"/>
  <c r="D249" i="2"/>
  <c r="G249" i="2"/>
  <c r="D250" i="2"/>
  <c r="G250" i="2"/>
  <c r="D251" i="2"/>
  <c r="G251" i="2"/>
  <c r="D252" i="2"/>
  <c r="G252" i="2"/>
  <c r="D253" i="2"/>
  <c r="G253" i="2"/>
  <c r="D254" i="2"/>
  <c r="G254" i="2"/>
  <c r="D255" i="2"/>
  <c r="G255" i="2"/>
  <c r="D256" i="2"/>
  <c r="G256" i="2"/>
  <c r="D257" i="2"/>
  <c r="G257" i="2"/>
  <c r="D258" i="2"/>
  <c r="G258" i="2"/>
  <c r="D259" i="2"/>
  <c r="G259" i="2"/>
  <c r="D260" i="2"/>
  <c r="G260" i="2"/>
  <c r="D261" i="2"/>
  <c r="G261" i="2"/>
  <c r="D262" i="2"/>
  <c r="G262" i="2"/>
  <c r="D263" i="2"/>
  <c r="G263" i="2"/>
  <c r="D264" i="2"/>
  <c r="G264" i="2"/>
  <c r="D265" i="2"/>
  <c r="G265" i="2"/>
  <c r="D266" i="2"/>
  <c r="G266" i="2"/>
  <c r="D267" i="2"/>
  <c r="G267" i="2"/>
  <c r="D268" i="2"/>
  <c r="G268" i="2"/>
  <c r="D269" i="2"/>
  <c r="G269" i="2"/>
  <c r="D270" i="2"/>
  <c r="G270" i="2"/>
  <c r="D271" i="2"/>
  <c r="G271" i="2"/>
  <c r="D272" i="2"/>
  <c r="G272" i="2"/>
  <c r="D273" i="2"/>
  <c r="G273" i="2"/>
  <c r="D274" i="2"/>
  <c r="G274" i="2"/>
  <c r="D275" i="2"/>
  <c r="G275" i="2"/>
  <c r="D276" i="2"/>
  <c r="G276" i="2"/>
  <c r="D277" i="2"/>
  <c r="G277" i="2"/>
  <c r="D278" i="2"/>
  <c r="G278" i="2"/>
  <c r="D279" i="2"/>
  <c r="G279" i="2"/>
  <c r="D280" i="2"/>
  <c r="G280" i="2"/>
  <c r="D281" i="2"/>
  <c r="G281" i="2"/>
  <c r="D282" i="2"/>
  <c r="G282" i="2"/>
  <c r="D283" i="2"/>
  <c r="G283" i="2"/>
  <c r="D284" i="2"/>
  <c r="G284" i="2"/>
  <c r="D285" i="2"/>
  <c r="G285" i="2"/>
  <c r="D286" i="2"/>
  <c r="G286" i="2"/>
  <c r="D287" i="2"/>
  <c r="G287" i="2"/>
  <c r="D288" i="2"/>
  <c r="G288" i="2"/>
  <c r="D289" i="2"/>
  <c r="G289" i="2"/>
  <c r="D290" i="2"/>
  <c r="G290" i="2"/>
  <c r="D291" i="2"/>
  <c r="G291" i="2"/>
  <c r="D292" i="2"/>
  <c r="G292" i="2"/>
  <c r="D293" i="2"/>
  <c r="G293" i="2"/>
  <c r="D294" i="2"/>
  <c r="G294" i="2"/>
  <c r="D295" i="2"/>
  <c r="G295" i="2"/>
  <c r="D296" i="2"/>
  <c r="G296" i="2"/>
  <c r="D297" i="2"/>
  <c r="G297" i="2"/>
  <c r="D298" i="2"/>
  <c r="G298" i="2"/>
  <c r="D299" i="2"/>
  <c r="G299" i="2"/>
  <c r="D300" i="2"/>
  <c r="G300" i="2"/>
  <c r="D301" i="2"/>
  <c r="G301" i="2"/>
  <c r="D302" i="2"/>
  <c r="G302" i="2"/>
  <c r="D303" i="2"/>
  <c r="G303" i="2"/>
  <c r="D304" i="2"/>
  <c r="G304" i="2"/>
  <c r="D305" i="2"/>
  <c r="G305" i="2"/>
  <c r="D306" i="2"/>
  <c r="G306" i="2"/>
  <c r="D307" i="2"/>
  <c r="G307" i="2"/>
  <c r="D308" i="2"/>
  <c r="G308" i="2"/>
  <c r="D309" i="2"/>
  <c r="G309" i="2"/>
  <c r="D310" i="2"/>
  <c r="G310" i="2"/>
  <c r="D311" i="2"/>
  <c r="G311" i="2"/>
  <c r="D312" i="2"/>
  <c r="G312" i="2"/>
  <c r="D313" i="2"/>
  <c r="G313" i="2"/>
  <c r="D314" i="2"/>
  <c r="G314" i="2"/>
  <c r="D315" i="2"/>
  <c r="G315" i="2"/>
  <c r="D316" i="2"/>
  <c r="G316" i="2"/>
  <c r="D317" i="2"/>
  <c r="G317" i="2"/>
  <c r="D318" i="2"/>
  <c r="G318" i="2"/>
  <c r="D319" i="2"/>
  <c r="G319" i="2"/>
  <c r="D320" i="2"/>
  <c r="G320" i="2"/>
  <c r="D321" i="2"/>
  <c r="G321" i="2"/>
  <c r="D322" i="2"/>
  <c r="G322" i="2"/>
  <c r="D323" i="2"/>
  <c r="G323" i="2"/>
  <c r="D324" i="2"/>
  <c r="G324" i="2"/>
  <c r="D325" i="2"/>
  <c r="G325" i="2"/>
  <c r="D326" i="2"/>
  <c r="G326" i="2"/>
  <c r="D327" i="2"/>
  <c r="G327" i="2"/>
  <c r="D328" i="2"/>
  <c r="G328" i="2"/>
  <c r="D329" i="2"/>
  <c r="G329" i="2"/>
  <c r="D330" i="2"/>
  <c r="G330" i="2"/>
  <c r="D331" i="2"/>
  <c r="G331" i="2"/>
  <c r="D332" i="2"/>
  <c r="G332" i="2"/>
  <c r="D333" i="2"/>
  <c r="G333" i="2"/>
  <c r="D334" i="2"/>
  <c r="G334" i="2"/>
  <c r="D335" i="2"/>
  <c r="G335" i="2"/>
  <c r="D336" i="2"/>
  <c r="G336" i="2"/>
  <c r="D337" i="2"/>
  <c r="G337" i="2"/>
  <c r="D338" i="2"/>
  <c r="G338" i="2"/>
  <c r="D339" i="2"/>
  <c r="G339" i="2"/>
  <c r="D340" i="2"/>
  <c r="G340" i="2"/>
  <c r="D341" i="2"/>
  <c r="G341" i="2"/>
  <c r="D342" i="2"/>
  <c r="G342" i="2"/>
  <c r="D343" i="2"/>
  <c r="G343" i="2"/>
  <c r="D344" i="2"/>
  <c r="G344" i="2"/>
  <c r="D345" i="2"/>
  <c r="G345" i="2"/>
  <c r="D346" i="2"/>
  <c r="G346" i="2"/>
  <c r="D347" i="2"/>
  <c r="G347" i="2"/>
  <c r="D348" i="2"/>
  <c r="G348" i="2"/>
  <c r="D349" i="2"/>
  <c r="G349" i="2"/>
  <c r="D350" i="2"/>
  <c r="G350" i="2"/>
  <c r="D351" i="2"/>
  <c r="G351" i="2"/>
  <c r="D352" i="2"/>
  <c r="G352" i="2"/>
  <c r="D353" i="2"/>
  <c r="G353" i="2"/>
  <c r="D354" i="2"/>
  <c r="G354" i="2"/>
  <c r="D355" i="2"/>
  <c r="G355" i="2"/>
  <c r="D356" i="2"/>
  <c r="G356" i="2"/>
  <c r="D357" i="2"/>
  <c r="G357" i="2"/>
  <c r="D358" i="2"/>
  <c r="G358" i="2"/>
  <c r="D359" i="2"/>
  <c r="G359" i="2"/>
  <c r="D360" i="2"/>
  <c r="G360" i="2"/>
  <c r="D361" i="2"/>
  <c r="G361" i="2"/>
  <c r="D362" i="2"/>
  <c r="G362" i="2"/>
  <c r="D363" i="2"/>
  <c r="G363" i="2"/>
  <c r="D364" i="2"/>
  <c r="G364" i="2"/>
  <c r="D365" i="2"/>
  <c r="G365" i="2"/>
  <c r="D366" i="2"/>
  <c r="G366" i="2"/>
  <c r="D367" i="2"/>
  <c r="G367" i="2"/>
  <c r="D368" i="2"/>
  <c r="G368" i="2"/>
  <c r="D369" i="2"/>
  <c r="G369" i="2"/>
  <c r="D370" i="2"/>
  <c r="G370" i="2"/>
  <c r="D371" i="2"/>
  <c r="G371" i="2"/>
  <c r="D372" i="2"/>
  <c r="G372" i="2"/>
  <c r="D373" i="2"/>
  <c r="G373" i="2"/>
  <c r="D374" i="2"/>
  <c r="G374" i="2"/>
  <c r="D375" i="2"/>
  <c r="G375" i="2"/>
  <c r="D376" i="2"/>
  <c r="G376" i="2"/>
  <c r="D377" i="2"/>
  <c r="G377" i="2"/>
  <c r="D378" i="2"/>
  <c r="G378" i="2"/>
  <c r="D379" i="2"/>
  <c r="G379" i="2"/>
  <c r="D380" i="2"/>
  <c r="G380" i="2"/>
  <c r="D381" i="2"/>
  <c r="G381" i="2"/>
  <c r="D382" i="2"/>
  <c r="G382" i="2"/>
  <c r="D383" i="2"/>
  <c r="G383" i="2"/>
  <c r="D384" i="2"/>
  <c r="G384" i="2"/>
  <c r="D385" i="2"/>
  <c r="G385" i="2"/>
  <c r="D386" i="2"/>
  <c r="G386" i="2"/>
  <c r="D387" i="2"/>
  <c r="G387" i="2"/>
  <c r="D388" i="2"/>
  <c r="G388" i="2"/>
  <c r="D389" i="2"/>
  <c r="G389" i="2"/>
  <c r="D390" i="2"/>
  <c r="G390" i="2"/>
  <c r="D391" i="2"/>
  <c r="G391" i="2"/>
  <c r="D392" i="2"/>
  <c r="G392" i="2"/>
  <c r="D393" i="2"/>
  <c r="G393" i="2"/>
  <c r="D394" i="2"/>
  <c r="G394" i="2"/>
  <c r="D395" i="2"/>
  <c r="G395" i="2"/>
  <c r="D396" i="2"/>
  <c r="G396" i="2"/>
  <c r="D397" i="2"/>
  <c r="G397" i="2"/>
  <c r="D398" i="2"/>
  <c r="G398" i="2"/>
  <c r="D399" i="2"/>
  <c r="G399" i="2"/>
  <c r="D400" i="2"/>
  <c r="G400" i="2"/>
  <c r="D401" i="2"/>
  <c r="G401" i="2"/>
  <c r="D402" i="2"/>
  <c r="G402" i="2"/>
  <c r="D403" i="2"/>
  <c r="G403" i="2"/>
  <c r="D404" i="2"/>
  <c r="G404" i="2"/>
  <c r="D405" i="2"/>
  <c r="G405" i="2"/>
  <c r="D406" i="2"/>
  <c r="G406" i="2"/>
  <c r="D407" i="2"/>
  <c r="G407" i="2"/>
  <c r="D408" i="2"/>
  <c r="G408" i="2"/>
  <c r="D409" i="2"/>
  <c r="G409" i="2"/>
  <c r="D410" i="2"/>
  <c r="G410" i="2"/>
  <c r="D411" i="2"/>
  <c r="G411" i="2"/>
  <c r="D412" i="2"/>
  <c r="G412" i="2"/>
  <c r="D413" i="2"/>
  <c r="G413" i="2"/>
  <c r="D414" i="2"/>
  <c r="G414" i="2"/>
  <c r="D415" i="2"/>
  <c r="G415" i="2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<sst xmlns="http://schemas.openxmlformats.org/spreadsheetml/2006/main" count="1864" uniqueCount="126">
  <si>
    <t>Region</t>
  </si>
  <si>
    <t>Nationality</t>
  </si>
  <si>
    <t>Year</t>
  </si>
  <si>
    <t>BE</t>
  </si>
  <si>
    <t>Number</t>
  </si>
  <si>
    <t>ASEAN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</si>
  <si>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</si>
  <si>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</si>
  <si>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</si>
  <si>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</si>
  <si>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</si>
  <si>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</si>
  <si>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</si>
  <si>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</si>
  <si>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Vietnam</t>
  </si>
  <si>
    <t>East Asia</t>
  </si>
  <si>
    <t>China</t>
  </si>
  <si>
    <t>Hong Kong</t>
  </si>
  <si>
    <t>Japan</t>
  </si>
  <si>
    <t>South Korea</t>
  </si>
  <si>
    <t>Taiwan</t>
  </si>
  <si>
    <t>Other East Asia</t>
  </si>
  <si>
    <t>South Asia</t>
  </si>
  <si>
    <t>Bangladesh</t>
  </si>
  <si>
    <t>India</t>
  </si>
  <si>
    <t>Nepal</t>
  </si>
  <si>
    <t>Pakistan</t>
  </si>
  <si>
    <t>Sri Lanka</t>
  </si>
  <si>
    <t>Other South Asia</t>
  </si>
  <si>
    <t>Oceania</t>
  </si>
  <si>
    <t>Australia</t>
  </si>
  <si>
    <t>New  Zealand</t>
  </si>
  <si>
    <t>Other Oceania</t>
  </si>
  <si>
    <t>Middle East</t>
  </si>
  <si>
    <t>Egypt</t>
  </si>
  <si>
    <t>Kuwait</t>
  </si>
  <si>
    <t>Saudi  Arabia</t>
  </si>
  <si>
    <t>United Arab Emirates</t>
  </si>
  <si>
    <t>Other Middle East</t>
  </si>
  <si>
    <t>North Europe</t>
  </si>
  <si>
    <t>Denmark</t>
  </si>
  <si>
    <t>Finland</t>
  </si>
  <si>
    <t>Norway</t>
  </si>
  <si>
    <t>Sweden</t>
  </si>
  <si>
    <t>United  Kingdom</t>
  </si>
  <si>
    <t>West Europe</t>
  </si>
  <si>
    <t>Austria</t>
  </si>
  <si>
    <t>Belgium</t>
  </si>
  <si>
    <t>France</t>
  </si>
  <si>
    <t>Germany</t>
  </si>
  <si>
    <t>Netherlands</t>
  </si>
  <si>
    <t>Switzerland</t>
  </si>
  <si>
    <t>Central/East Europe</t>
  </si>
  <si>
    <t>Russia</t>
  </si>
  <si>
    <t>Israel</t>
  </si>
  <si>
    <t>South/Medit Europe</t>
  </si>
  <si>
    <t>Italy</t>
  </si>
  <si>
    <t>Spain</t>
  </si>
  <si>
    <t>Europe</t>
  </si>
  <si>
    <t>East Europe</t>
  </si>
  <si>
    <t>Other Europe</t>
  </si>
  <si>
    <t>America</t>
  </si>
  <si>
    <t>Canada</t>
  </si>
  <si>
    <t>United States</t>
  </si>
  <si>
    <t>Argentina</t>
  </si>
  <si>
    <t>Brazil</t>
  </si>
  <si>
    <t>Other America</t>
  </si>
  <si>
    <t>Africa</t>
  </si>
  <si>
    <t>South Africa</t>
  </si>
  <si>
    <t>Other Afirca</t>
  </si>
  <si>
    <t>North Korea</t>
  </si>
  <si>
    <t>Macao</t>
  </si>
  <si>
    <t>Mongolia</t>
  </si>
  <si>
    <t>Bhutan</t>
  </si>
  <si>
    <t>Iran</t>
  </si>
  <si>
    <t>Maldives</t>
  </si>
  <si>
    <t>Asia</t>
  </si>
  <si>
    <t>Other in Asia</t>
  </si>
  <si>
    <t>Bahrain</t>
  </si>
  <si>
    <t>Iraq</t>
  </si>
  <si>
    <t>Jordan</t>
  </si>
  <si>
    <t>Lebanon</t>
  </si>
  <si>
    <t>Oman</t>
  </si>
  <si>
    <t>Qatar</t>
  </si>
  <si>
    <t>Yemen</t>
  </si>
  <si>
    <t>Iceland</t>
  </si>
  <si>
    <t>Ireland</t>
  </si>
  <si>
    <t>Luxembourg</t>
  </si>
  <si>
    <t>Belarus</t>
  </si>
  <si>
    <t>Bulgaria</t>
  </si>
  <si>
    <t>Czech Republic</t>
  </si>
  <si>
    <t>Estonia</t>
  </si>
  <si>
    <t>Hungary</t>
  </si>
  <si>
    <t>Kazakhstan</t>
  </si>
  <si>
    <t>Kyrgyzstan</t>
  </si>
  <si>
    <t>Latvia</t>
  </si>
  <si>
    <t>Lithuania</t>
  </si>
  <si>
    <t>Poland</t>
  </si>
  <si>
    <t>Romania</t>
  </si>
  <si>
    <t>Slovakia</t>
  </si>
  <si>
    <t>Ukraine</t>
  </si>
  <si>
    <t>Uzbekistan</t>
  </si>
  <si>
    <t>Croatia</t>
  </si>
  <si>
    <t>Cyprus</t>
  </si>
  <si>
    <t>Greece</t>
  </si>
  <si>
    <t>Portugal</t>
  </si>
  <si>
    <t>Serbia</t>
  </si>
  <si>
    <t>Slovenia</t>
  </si>
  <si>
    <t>Turkey</t>
  </si>
  <si>
    <t>Mexico</t>
  </si>
  <si>
    <t>Chile</t>
  </si>
  <si>
    <t>Colombia</t>
  </si>
  <si>
    <t>Peru</t>
  </si>
  <si>
    <t>Uruguay</t>
  </si>
  <si>
    <t>Morocco</t>
  </si>
  <si>
    <t>Ethiopia</t>
  </si>
  <si>
    <t>Kenya</t>
  </si>
  <si>
    <t>Mauritius</t>
  </si>
  <si>
    <t>United Kingdom</t>
  </si>
  <si>
    <t>Saudi Arabia</t>
  </si>
  <si>
    <t>New Zealand</t>
  </si>
  <si>
    <t>Other Asia</t>
  </si>
  <si>
    <t>Macau</t>
  </si>
  <si>
    <t>Ratio</t>
  </si>
  <si>
    <t>Medical Expense</t>
  </si>
  <si>
    <t>Total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</si>
</sst>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0"/>
      <name val="ChulaCharasNew"/>
      <family val="2"/>
    </font>
    <font>
      <sz val="10"/>
      <color theme="1"/>
      <name val="ChulaCharasNew"/>
      <family val="2"/>
    </font>
    <font>
      <i/>
      <sz val="11"/>
      <color theme="1"/>
      <name val="Calibri"/>
      <family val="2"/>
      <scheme val="minor"/>
    </font>
    <font>
      <sz val="10"/>
      <name val="ChulaCharasNew"/>
    </font>
    <font>
      <sz val="10"/>
      <color theme="1"/>
      <name val="ChulaCharasNew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43" fontId="8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2" applyFont="1" applyAlignment="1">
      <alignment horizontal="left"/>
    </xf>
    <xf numFmtId="0" fontId="4" fillId="0" borderId="0" xfId="2" applyFont="1"/>
    <xf numFmtId="0" fontId="2" fillId="0" borderId="0" xfId="2"/>
    <xf numFmtId="3" fontId="3" fillId="0" borderId="0" xfId="2" applyNumberFormat="1" applyFont="1" applyAlignment="1">
      <alignment horizontal="right" vertical="center"/>
    </xf>
    <xf numFmtId="3" fontId="3" fillId="0" borderId="0" xfId="2" applyNumberFormat="1" applyFont="1"/>
    <xf numFmtId="3" fontId="4" fillId="0" borderId="0" xfId="2" applyNumberFormat="1" applyFont="1"/>
    <xf numFmtId="3" fontId="3" fillId="0" borderId="0" xfId="3" applyNumberFormat="1" applyFont="1" applyAlignment="1">
      <alignment horizontal="right" vertical="center"/>
    </xf>
    <xf numFmtId="0" fontId="5" fillId="0" borderId="0" xfId="2" applyFont="1"/>
    <xf numFmtId="0" fontId="4" fillId="0" borderId="0" xfId="2" applyFont="1" applyAlignment="1">
      <alignment horizontal="right"/>
    </xf>
    <xf numFmtId="3" fontId="4" fillId="0" borderId="0" xfId="2" applyNumberFormat="1" applyFont="1" applyAlignment="1">
      <alignment horizontal="right"/>
    </xf>
    <xf numFmtId="3" fontId="4" fillId="0" borderId="0" xfId="2" applyNumberFormat="1" applyFont="1" applyAlignment="1">
      <alignment horizontal="right" vertical="center"/>
    </xf>
    <xf numFmtId="0" fontId="6" fillId="0" borderId="0" xfId="2" applyFont="1" applyAlignment="1">
      <alignment horizontal="left"/>
    </xf>
    <xf numFmtId="0" fontId="7" fillId="0" borderId="0" xfId="2" applyFont="1"/>
    <xf numFmtId="3" fontId="7" fillId="0" borderId="0" xfId="2" applyNumberFormat="1" applyFont="1"/>
    <xf numFmtId="10" fontId="0" fillId="0" borderId="0" xfId="1" applyNumberFormat="1" applyFont="1"/>
    <xf numFmtId="43" fontId="0" fillId="0" borderId="0" xfId="4" applyFont="1"/>
    <xf numFmtId="4" fontId="0" fillId="0" borderId="0" xfId="0" applyNumberFormat="1"/>
    <xf numFmtId="43" fontId="0" fillId="0" borderId="0" xfId="0" applyNumberFormat="1"/>
  </cellXfs>
  <cellStyles count="5">
    <cellStyle name="Comma 2" xfId="4" xr:uid="{75BCC5C5-6233-4DE0-9273-E02281E73309}"/>
    <cellStyle name="Normal" xfId="0" builtinId="0"/>
    <cellStyle name="Normal 2" xfId="2" xr:uid="{6E4F91D8-4A7F-4259-9807-32B58042290C}"/>
    <cellStyle name="Normal 2 2" xfId="3" xr:uid="{1B302645-DC73-4E45-8459-398AB0123BBB}"/>
    <cellStyle name="Percent" xfId="1" builtinId="5"/>
  </cellStyles>
  <dxfs count="9">
    <dxf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hulaCharasNew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hulaCharas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hulaCharas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hulaCharasNew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hulaCharasNew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hulaCharasNew"/>
        <scheme val="none"/>
      </font>
    </dxf>
    <dxf>
      <font>
        <strike val="0"/>
        <outline val="0"/>
        <shadow val="0"/>
        <u val="none"/>
        <vertAlign val="baseline"/>
        <sz val="10"/>
        <name val="ChulaCharasNe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12E0B9-E132-4705-95DB-AF70A198D362}" name="TouristNumber" displayName="TouristNumber" ref="A1:E513" totalsRowShown="0" headerRowDxfId="8" dataDxfId="7">
  <autoFilter ref="A1:E513" xr:uid="{3FD79300-DCC0-4E3E-94BA-D341EBCD6F24}"/>
  <tableColumns count="5">
    <tableColumn id="1" xr3:uid="{4B9C9C85-EF71-4587-81C5-E7752EB2F3B5}" name="Region" dataDxfId="6"/>
    <tableColumn id="2" xr3:uid="{892881EF-8D23-4B53-803B-ADC92BD1DAD0}" name="Nationality" dataDxfId="5"/>
    <tableColumn id="3" xr3:uid="{FD18E049-E305-4B72-9124-6232F2A2FE4A}" name="Year" dataDxfId="4"/>
    <tableColumn id="5" xr3:uid="{C4665B5A-1032-43A3-8FAB-45B972B91737}" name="BE" dataDxfId="3">
      <calculatedColumnFormula>TouristNumber[[#This Row],[Year]]+543</calculatedColumnFormula>
    </tableColumn>
    <tableColumn id="4" xr3:uid="{47BB5A26-12BF-45B2-9414-C2A84BD337FB}" name="Number" dataDxfId="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F8F23D-B110-4D3C-BF16-7890A40C6D19}" name="TouristExpense" displayName="TouristExpense" ref="A1:G415" totalsRowShown="0">
  <autoFilter ref="A1:G415" xr:uid="{66C0C491-F739-4580-A7EF-4409BF14C20D}"/>
  <tableColumns count="7">
    <tableColumn id="1" xr3:uid="{57293299-0AB3-4D2B-A0DF-832A6B69BA1D}" name="Region"/>
    <tableColumn id="2" xr3:uid="{BF21EDDC-F67C-4D90-9DFD-BA61F1E9D07F}" name="Nationality"/>
    <tableColumn id="3" xr3:uid="{5086AA65-8F79-4F89-B6D0-7D8785F31DEB}" name="Year"/>
    <tableColumn id="4" xr3:uid="{8175CB1B-2337-430C-9FAC-84E1BB98FD16}" name="BE" dataDxfId="1">
      <calculatedColumnFormula>TouristExpense[[#This Row],[Year]]+543</calculatedColumnFormula>
    </tableColumn>
    <tableColumn id="5" xr3:uid="{BAB9B90D-77EC-4A98-8F73-EC85032B9D8C}" name="Total Expense" dataCellStyle="Comma"/>
    <tableColumn id="6" xr3:uid="{41C4A63D-28D9-44C2-A1F6-EDF355F671FE}" name="Medical Expense"/>
    <tableColumn id="7" xr3:uid="{4CD07181-C826-42B1-9428-10699BCB30F3}" name="Ratio" dataDxfId="0" dataCellStyle="Percent">
      <calculatedColumnFormula>TouristExpense[[#This Row],[Medical Expense]]/TouristExpense[[#This Row],[Total Expense]]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hula theme color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DE5C8E"/>
      </a:accent1>
      <a:accent2>
        <a:srgbClr val="58595B"/>
      </a:accent2>
      <a:accent3>
        <a:srgbClr val="AB5814"/>
      </a:accent3>
      <a:accent4>
        <a:srgbClr val="E9C869"/>
      </a:accent4>
      <a:accent5>
        <a:srgbClr val="F8E1EA"/>
      </a:accent5>
      <a:accent6>
        <a:srgbClr val="DE5C8E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6906-301F-4738-AD29-9DEC5F41898F}">
  <dimension ref="A1:G517"/>
  <sheetViews>
    <sheetView topLeftCell="A13" workbookViewId="0">
      <selection activeCell="D33" sqref="D33"/>
    </sheetView>
  </sheetViews>
  <sheetFormatPr defaultColWidth="9.54296875" defaultRowHeight="16"/>
  <cols>
    <col min="1" max="1" width="19.81640625" style="1" bestFit="1" customWidth="1"/>
    <col min="2" max="2" width="11.453125" style="1" customWidth="1"/>
    <col min="3" max="4" width="9.81640625" style="2" customWidth="1"/>
    <col min="5" max="5" width="9.54296875" style="2"/>
    <col min="6" max="16384" width="9.54296875" style="3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2">
        <v>2017</v>
      </c>
      <c r="D2" s="2">
        <f>TouristNumber[[#This Row],[Year]]+543</f>
        <v>2560</v>
      </c>
      <c r="E2" s="4">
        <v>18249</v>
      </c>
    </row>
    <row r="3" spans="1:5">
      <c r="A3" s="1" t="s">
        <v>5</v>
      </c>
      <c r="B3" s="1" t="s">
        <v>7</v>
      </c>
      <c r="C3" s="2">
        <v>2017</v>
      </c>
      <c r="D3" s="2">
        <f>TouristNumber[[#This Row],[Year]]+543</f>
        <v>2560</v>
      </c>
      <c r="E3" s="4">
        <v>851879</v>
      </c>
    </row>
    <row r="4" spans="1:5">
      <c r="A4" s="1" t="s">
        <v>5</v>
      </c>
      <c r="B4" s="1" t="s">
        <v>8</v>
      </c>
      <c r="C4" s="2">
        <v>2017</v>
      </c>
      <c r="D4" s="2">
        <f>TouristNumber[[#This Row],[Year]]+543</f>
        <v>2560</v>
      </c>
      <c r="E4" s="4">
        <v>594060</v>
      </c>
    </row>
    <row r="5" spans="1:5">
      <c r="A5" s="1" t="s">
        <v>5</v>
      </c>
      <c r="B5" s="1" t="s">
        <v>9</v>
      </c>
      <c r="C5" s="2">
        <v>2017</v>
      </c>
      <c r="D5" s="2">
        <f>TouristNumber[[#This Row],[Year]]+543</f>
        <v>2560</v>
      </c>
      <c r="E5" s="4">
        <v>1692866</v>
      </c>
    </row>
    <row r="6" spans="1:5">
      <c r="A6" s="1" t="s">
        <v>5</v>
      </c>
      <c r="B6" s="1" t="s">
        <v>10</v>
      </c>
      <c r="C6" s="2">
        <v>2017</v>
      </c>
      <c r="D6" s="2">
        <f>TouristNumber[[#This Row],[Year]]+543</f>
        <v>2560</v>
      </c>
      <c r="E6" s="4">
        <v>3493112</v>
      </c>
    </row>
    <row r="7" spans="1:5">
      <c r="A7" s="1" t="s">
        <v>5</v>
      </c>
      <c r="B7" s="1" t="s">
        <v>11</v>
      </c>
      <c r="C7" s="2">
        <v>2017</v>
      </c>
      <c r="D7" s="2">
        <f>TouristNumber[[#This Row],[Year]]+543</f>
        <v>2560</v>
      </c>
      <c r="E7" s="4">
        <v>387722</v>
      </c>
    </row>
    <row r="8" spans="1:5">
      <c r="A8" s="1" t="s">
        <v>5</v>
      </c>
      <c r="B8" s="1" t="s">
        <v>12</v>
      </c>
      <c r="C8" s="2">
        <v>2017</v>
      </c>
      <c r="D8" s="2">
        <f>TouristNumber[[#This Row],[Year]]+543</f>
        <v>2560</v>
      </c>
      <c r="E8" s="4">
        <v>361218</v>
      </c>
    </row>
    <row r="9" spans="1:5">
      <c r="A9" s="1" t="s">
        <v>5</v>
      </c>
      <c r="B9" s="1" t="s">
        <v>13</v>
      </c>
      <c r="C9" s="2">
        <v>2017</v>
      </c>
      <c r="D9" s="2">
        <f>TouristNumber[[#This Row],[Year]]+543</f>
        <v>2560</v>
      </c>
      <c r="E9" s="4">
        <v>1259523</v>
      </c>
    </row>
    <row r="10" spans="1:5">
      <c r="A10" s="1" t="s">
        <v>5</v>
      </c>
      <c r="B10" s="1" t="s">
        <v>14</v>
      </c>
      <c r="C10" s="2">
        <v>2017</v>
      </c>
      <c r="D10" s="2">
        <f>TouristNumber[[#This Row],[Year]]+543</f>
        <v>2560</v>
      </c>
      <c r="E10" s="4">
        <v>985695</v>
      </c>
    </row>
    <row r="11" spans="1:5">
      <c r="A11" s="1" t="s">
        <v>15</v>
      </c>
      <c r="B11" s="1" t="s">
        <v>16</v>
      </c>
      <c r="C11" s="2">
        <v>2017</v>
      </c>
      <c r="D11" s="2">
        <f>TouristNumber[[#This Row],[Year]]+543</f>
        <v>2560</v>
      </c>
      <c r="E11" s="4">
        <v>9846818</v>
      </c>
    </row>
    <row r="12" spans="1:5">
      <c r="A12" s="1" t="s">
        <v>15</v>
      </c>
      <c r="B12" s="1" t="s">
        <v>17</v>
      </c>
      <c r="C12" s="2">
        <v>2017</v>
      </c>
      <c r="D12" s="2">
        <f>TouristNumber[[#This Row],[Year]]+543</f>
        <v>2560</v>
      </c>
      <c r="E12" s="4">
        <v>798460</v>
      </c>
    </row>
    <row r="13" spans="1:5">
      <c r="A13" s="1" t="s">
        <v>15</v>
      </c>
      <c r="B13" s="1" t="s">
        <v>18</v>
      </c>
      <c r="C13" s="2">
        <v>2017</v>
      </c>
      <c r="D13" s="2">
        <f>TouristNumber[[#This Row],[Year]]+543</f>
        <v>2560</v>
      </c>
      <c r="E13" s="4">
        <v>1525707</v>
      </c>
    </row>
    <row r="14" spans="1:5">
      <c r="A14" s="1" t="s">
        <v>15</v>
      </c>
      <c r="B14" s="1" t="s">
        <v>19</v>
      </c>
      <c r="C14" s="2">
        <v>2017</v>
      </c>
      <c r="D14" s="2">
        <f>TouristNumber[[#This Row],[Year]]+543</f>
        <v>2560</v>
      </c>
      <c r="E14" s="4">
        <v>1698608</v>
      </c>
    </row>
    <row r="15" spans="1:5">
      <c r="A15" s="1" t="s">
        <v>15</v>
      </c>
      <c r="B15" s="1" t="s">
        <v>20</v>
      </c>
      <c r="C15" s="2">
        <v>2017</v>
      </c>
      <c r="D15" s="2">
        <f>TouristNumber[[#This Row],[Year]]+543</f>
        <v>2560</v>
      </c>
      <c r="E15" s="4">
        <v>560441</v>
      </c>
    </row>
    <row r="16" spans="1:5">
      <c r="A16" s="1" t="s">
        <v>15</v>
      </c>
      <c r="B16" s="1" t="s">
        <v>21</v>
      </c>
      <c r="C16" s="2">
        <v>2017</v>
      </c>
      <c r="D16" s="2">
        <f>TouristNumber[[#This Row],[Year]]+543</f>
        <v>2560</v>
      </c>
      <c r="E16" s="4">
        <v>91918</v>
      </c>
    </row>
    <row r="17" spans="1:5">
      <c r="A17" s="1" t="s">
        <v>22</v>
      </c>
      <c r="B17" s="1" t="s">
        <v>23</v>
      </c>
      <c r="C17" s="2">
        <v>2017</v>
      </c>
      <c r="D17" s="2">
        <f>TouristNumber[[#This Row],[Year]]+543</f>
        <v>2560</v>
      </c>
      <c r="E17" s="4">
        <v>125580</v>
      </c>
    </row>
    <row r="18" spans="1:5">
      <c r="A18" s="1" t="s">
        <v>22</v>
      </c>
      <c r="B18" s="1" t="s">
        <v>24</v>
      </c>
      <c r="C18" s="2">
        <v>2017</v>
      </c>
      <c r="D18" s="2">
        <f>TouristNumber[[#This Row],[Year]]+543</f>
        <v>2560</v>
      </c>
      <c r="E18" s="4">
        <v>1281681</v>
      </c>
    </row>
    <row r="19" spans="1:5">
      <c r="A19" s="1" t="s">
        <v>22</v>
      </c>
      <c r="B19" s="1" t="s">
        <v>25</v>
      </c>
      <c r="C19" s="2">
        <v>2017</v>
      </c>
      <c r="D19" s="2">
        <f>TouristNumber[[#This Row],[Year]]+543</f>
        <v>2560</v>
      </c>
      <c r="E19" s="4">
        <v>43782</v>
      </c>
    </row>
    <row r="20" spans="1:5">
      <c r="A20" s="1" t="s">
        <v>22</v>
      </c>
      <c r="B20" s="1" t="s">
        <v>26</v>
      </c>
      <c r="C20" s="2">
        <v>2017</v>
      </c>
      <c r="D20" s="2">
        <f>TouristNumber[[#This Row],[Year]]+543</f>
        <v>2560</v>
      </c>
      <c r="E20" s="4">
        <v>76784</v>
      </c>
    </row>
    <row r="21" spans="1:5">
      <c r="A21" s="1" t="s">
        <v>22</v>
      </c>
      <c r="B21" s="1" t="s">
        <v>27</v>
      </c>
      <c r="C21" s="2">
        <v>2017</v>
      </c>
      <c r="D21" s="2">
        <f>TouristNumber[[#This Row],[Year]]+543</f>
        <v>2560</v>
      </c>
      <c r="E21" s="4">
        <v>63386</v>
      </c>
    </row>
    <row r="22" spans="1:5">
      <c r="A22" s="1" t="s">
        <v>22</v>
      </c>
      <c r="B22" s="1" t="s">
        <v>28</v>
      </c>
      <c r="C22" s="2">
        <v>2017</v>
      </c>
      <c r="D22" s="2">
        <f>TouristNumber[[#This Row],[Year]]+543</f>
        <v>2560</v>
      </c>
      <c r="E22" s="4">
        <v>48315</v>
      </c>
    </row>
    <row r="23" spans="1:5">
      <c r="A23" s="1" t="s">
        <v>29</v>
      </c>
      <c r="B23" s="1" t="s">
        <v>30</v>
      </c>
      <c r="C23" s="2">
        <v>2017</v>
      </c>
      <c r="D23" s="2">
        <f>TouristNumber[[#This Row],[Year]]+543</f>
        <v>2560</v>
      </c>
      <c r="E23" s="4">
        <v>837485</v>
      </c>
    </row>
    <row r="24" spans="1:5">
      <c r="A24" s="1" t="s">
        <v>29</v>
      </c>
      <c r="B24" s="1" t="s">
        <v>31</v>
      </c>
      <c r="C24" s="2">
        <v>2017</v>
      </c>
      <c r="D24" s="2">
        <f>TouristNumber[[#This Row],[Year]]+543</f>
        <v>2560</v>
      </c>
      <c r="E24" s="4">
        <v>102328</v>
      </c>
    </row>
    <row r="25" spans="1:5">
      <c r="A25" s="1" t="s">
        <v>29</v>
      </c>
      <c r="B25" s="1" t="s">
        <v>32</v>
      </c>
      <c r="C25" s="2">
        <v>2017</v>
      </c>
      <c r="D25" s="2">
        <f>TouristNumber[[#This Row],[Year]]+543</f>
        <v>2560</v>
      </c>
      <c r="E25" s="4">
        <v>7964</v>
      </c>
    </row>
    <row r="26" spans="1:5">
      <c r="A26" s="1" t="s">
        <v>33</v>
      </c>
      <c r="B26" s="1" t="s">
        <v>34</v>
      </c>
      <c r="C26" s="2">
        <v>2017</v>
      </c>
      <c r="D26" s="2">
        <f>TouristNumber[[#This Row],[Year]]+543</f>
        <v>2560</v>
      </c>
      <c r="E26" s="4">
        <v>19730</v>
      </c>
    </row>
    <row r="27" spans="1:5">
      <c r="A27" s="1" t="s">
        <v>33</v>
      </c>
      <c r="B27" s="1" t="s">
        <v>35</v>
      </c>
      <c r="C27" s="2">
        <v>2017</v>
      </c>
      <c r="D27" s="2">
        <f>TouristNumber[[#This Row],[Year]]+543</f>
        <v>2560</v>
      </c>
      <c r="E27" s="4">
        <v>80895</v>
      </c>
    </row>
    <row r="28" spans="1:5">
      <c r="A28" s="1" t="s">
        <v>33</v>
      </c>
      <c r="B28" s="1" t="s">
        <v>36</v>
      </c>
      <c r="C28" s="2">
        <v>2017</v>
      </c>
      <c r="D28" s="2">
        <f>TouristNumber[[#This Row],[Year]]+543</f>
        <v>2560</v>
      </c>
      <c r="E28" s="4">
        <v>42610</v>
      </c>
    </row>
    <row r="29" spans="1:5">
      <c r="A29" s="1" t="s">
        <v>33</v>
      </c>
      <c r="B29" s="1" t="s">
        <v>37</v>
      </c>
      <c r="C29" s="2">
        <v>2017</v>
      </c>
      <c r="D29" s="2">
        <f>TouristNumber[[#This Row],[Year]]+543</f>
        <v>2560</v>
      </c>
      <c r="E29" s="4">
        <v>199475</v>
      </c>
    </row>
    <row r="30" spans="1:5">
      <c r="A30" s="1" t="s">
        <v>33</v>
      </c>
      <c r="B30" s="1" t="s">
        <v>38</v>
      </c>
      <c r="C30" s="2">
        <v>2017</v>
      </c>
      <c r="D30" s="2">
        <f>TouristNumber[[#This Row],[Year]]+543</f>
        <v>2560</v>
      </c>
      <c r="E30" s="4">
        <v>357518</v>
      </c>
    </row>
    <row r="31" spans="1:5">
      <c r="A31" s="1" t="s">
        <v>39</v>
      </c>
      <c r="B31" s="1" t="s">
        <v>40</v>
      </c>
      <c r="C31" s="2">
        <v>2017</v>
      </c>
      <c r="D31" s="2">
        <f>TouristNumber[[#This Row],[Year]]+543</f>
        <v>2560</v>
      </c>
      <c r="E31" s="4">
        <v>157923</v>
      </c>
    </row>
    <row r="32" spans="1:5">
      <c r="A32" s="1" t="s">
        <v>39</v>
      </c>
      <c r="B32" s="1" t="s">
        <v>41</v>
      </c>
      <c r="C32" s="2">
        <v>2017</v>
      </c>
      <c r="D32" s="2">
        <f>TouristNumber[[#This Row],[Year]]+543</f>
        <v>2560</v>
      </c>
      <c r="E32" s="4">
        <v>138926</v>
      </c>
    </row>
    <row r="33" spans="1:5">
      <c r="A33" s="1" t="s">
        <v>39</v>
      </c>
      <c r="B33" s="1" t="s">
        <v>42</v>
      </c>
      <c r="C33" s="2">
        <v>2017</v>
      </c>
      <c r="D33" s="2">
        <f>TouristNumber[[#This Row],[Year]]+543</f>
        <v>2560</v>
      </c>
      <c r="E33" s="4">
        <v>130200</v>
      </c>
    </row>
    <row r="34" spans="1:5">
      <c r="A34" s="1" t="s">
        <v>39</v>
      </c>
      <c r="B34" s="1" t="s">
        <v>43</v>
      </c>
      <c r="C34" s="2">
        <v>2017</v>
      </c>
      <c r="D34" s="2">
        <f>TouristNumber[[#This Row],[Year]]+543</f>
        <v>2560</v>
      </c>
      <c r="E34" s="4">
        <v>317797</v>
      </c>
    </row>
    <row r="35" spans="1:5">
      <c r="A35" s="1" t="s">
        <v>39</v>
      </c>
      <c r="B35" s="1" t="s">
        <v>44</v>
      </c>
      <c r="C35" s="2">
        <v>2017</v>
      </c>
      <c r="D35" s="2">
        <f>TouristNumber[[#This Row],[Year]]+543</f>
        <v>2560</v>
      </c>
      <c r="E35" s="4">
        <v>945061</v>
      </c>
    </row>
    <row r="36" spans="1:5">
      <c r="A36" s="1" t="s">
        <v>45</v>
      </c>
      <c r="B36" s="1" t="s">
        <v>46</v>
      </c>
      <c r="C36" s="2">
        <v>2017</v>
      </c>
      <c r="D36" s="2">
        <f>TouristNumber[[#This Row],[Year]]+543</f>
        <v>2560</v>
      </c>
      <c r="E36" s="4">
        <v>104220</v>
      </c>
    </row>
    <row r="37" spans="1:5">
      <c r="A37" s="1" t="s">
        <v>45</v>
      </c>
      <c r="B37" s="1" t="s">
        <v>47</v>
      </c>
      <c r="C37" s="2">
        <v>2017</v>
      </c>
      <c r="D37" s="2">
        <f>TouristNumber[[#This Row],[Year]]+543</f>
        <v>2560</v>
      </c>
      <c r="E37" s="4">
        <v>112635</v>
      </c>
    </row>
    <row r="38" spans="1:5">
      <c r="A38" s="1" t="s">
        <v>45</v>
      </c>
      <c r="B38" s="1" t="s">
        <v>48</v>
      </c>
      <c r="C38" s="2">
        <v>2017</v>
      </c>
      <c r="D38" s="2">
        <f>TouristNumber[[#This Row],[Year]]+543</f>
        <v>2560</v>
      </c>
      <c r="E38" s="4">
        <v>693426</v>
      </c>
    </row>
    <row r="39" spans="1:5">
      <c r="A39" s="1" t="s">
        <v>45</v>
      </c>
      <c r="B39" s="1" t="s">
        <v>49</v>
      </c>
      <c r="C39" s="2">
        <v>2017</v>
      </c>
      <c r="D39" s="2">
        <f>TouristNumber[[#This Row],[Year]]+543</f>
        <v>2560</v>
      </c>
      <c r="E39" s="4">
        <v>837318</v>
      </c>
    </row>
    <row r="40" spans="1:5">
      <c r="A40" s="1" t="s">
        <v>45</v>
      </c>
      <c r="B40" s="1" t="s">
        <v>50</v>
      </c>
      <c r="C40" s="2">
        <v>2017</v>
      </c>
      <c r="D40" s="2">
        <f>TouristNumber[[#This Row],[Year]]+543</f>
        <v>2560</v>
      </c>
      <c r="E40" s="4">
        <v>215433</v>
      </c>
    </row>
    <row r="41" spans="1:5">
      <c r="A41" s="1" t="s">
        <v>45</v>
      </c>
      <c r="B41" s="1" t="s">
        <v>51</v>
      </c>
      <c r="C41" s="2">
        <v>2017</v>
      </c>
      <c r="D41" s="2">
        <f>TouristNumber[[#This Row],[Year]]+543</f>
        <v>2560</v>
      </c>
      <c r="E41" s="4">
        <v>227152</v>
      </c>
    </row>
    <row r="42" spans="1:5">
      <c r="A42" s="1" t="s">
        <v>52</v>
      </c>
      <c r="B42" s="1" t="s">
        <v>53</v>
      </c>
      <c r="C42" s="2">
        <v>2017</v>
      </c>
      <c r="D42" s="2">
        <f>TouristNumber[[#This Row],[Year]]+543</f>
        <v>2560</v>
      </c>
      <c r="E42" s="4">
        <v>1340376</v>
      </c>
    </row>
    <row r="43" spans="1:5">
      <c r="A43" s="1" t="s">
        <v>33</v>
      </c>
      <c r="B43" s="1" t="s">
        <v>54</v>
      </c>
      <c r="C43" s="2">
        <v>2017</v>
      </c>
      <c r="D43" s="2">
        <f>TouristNumber[[#This Row],[Year]]+543</f>
        <v>2560</v>
      </c>
      <c r="E43" s="4">
        <v>174815</v>
      </c>
    </row>
    <row r="44" spans="1:5">
      <c r="A44" s="1" t="s">
        <v>55</v>
      </c>
      <c r="B44" s="1" t="s">
        <v>56</v>
      </c>
      <c r="C44" s="2">
        <v>2017</v>
      </c>
      <c r="D44" s="2">
        <f>TouristNumber[[#This Row],[Year]]+543</f>
        <v>2560</v>
      </c>
      <c r="E44" s="4">
        <v>244982</v>
      </c>
    </row>
    <row r="45" spans="1:5">
      <c r="A45" s="1" t="s">
        <v>55</v>
      </c>
      <c r="B45" s="1" t="s">
        <v>57</v>
      </c>
      <c r="C45" s="2">
        <v>2017</v>
      </c>
      <c r="D45" s="2">
        <f>TouristNumber[[#This Row],[Year]]+543</f>
        <v>2560</v>
      </c>
      <c r="E45" s="4">
        <v>178954</v>
      </c>
    </row>
    <row r="46" spans="1:5">
      <c r="A46" s="1" t="s">
        <v>58</v>
      </c>
      <c r="B46" s="1" t="s">
        <v>59</v>
      </c>
      <c r="C46" s="2">
        <v>2017</v>
      </c>
      <c r="D46" s="2">
        <f>TouristNumber[[#This Row],[Year]]+543</f>
        <v>2560</v>
      </c>
      <c r="E46" s="4">
        <v>445521</v>
      </c>
    </row>
    <row r="47" spans="1:5">
      <c r="A47" s="1" t="s">
        <v>58</v>
      </c>
      <c r="B47" s="1" t="s">
        <v>60</v>
      </c>
      <c r="C47" s="2">
        <v>2017</v>
      </c>
      <c r="D47" s="2">
        <f>TouristNumber[[#This Row],[Year]]+543</f>
        <v>2560</v>
      </c>
      <c r="E47" s="4">
        <v>232242</v>
      </c>
    </row>
    <row r="48" spans="1:5">
      <c r="A48" s="1" t="s">
        <v>61</v>
      </c>
      <c r="B48" s="1" t="s">
        <v>62</v>
      </c>
      <c r="C48" s="2">
        <v>2017</v>
      </c>
      <c r="D48" s="2">
        <f>TouristNumber[[#This Row],[Year]]+543</f>
        <v>2560</v>
      </c>
      <c r="E48" s="4">
        <v>227069</v>
      </c>
    </row>
    <row r="49" spans="1:5">
      <c r="A49" s="1" t="s">
        <v>61</v>
      </c>
      <c r="B49" s="1" t="s">
        <v>63</v>
      </c>
      <c r="C49" s="2">
        <v>2017</v>
      </c>
      <c r="D49" s="2">
        <f>TouristNumber[[#This Row],[Year]]+543</f>
        <v>2560</v>
      </c>
      <c r="E49" s="4">
        <v>1006939</v>
      </c>
    </row>
    <row r="50" spans="1:5">
      <c r="A50" s="1" t="s">
        <v>61</v>
      </c>
      <c r="B50" s="1" t="s">
        <v>64</v>
      </c>
      <c r="C50" s="2">
        <v>2017</v>
      </c>
      <c r="D50" s="2">
        <f>TouristNumber[[#This Row],[Year]]+543</f>
        <v>2560</v>
      </c>
      <c r="E50" s="4">
        <v>62738</v>
      </c>
    </row>
    <row r="51" spans="1:5">
      <c r="A51" s="1" t="s">
        <v>61</v>
      </c>
      <c r="B51" s="1" t="s">
        <v>65</v>
      </c>
      <c r="C51" s="2">
        <v>2017</v>
      </c>
      <c r="D51" s="2">
        <f>TouristNumber[[#This Row],[Year]]+543</f>
        <v>2560</v>
      </c>
      <c r="E51" s="4">
        <v>71349</v>
      </c>
    </row>
    <row r="52" spans="1:5">
      <c r="A52" s="1" t="s">
        <v>61</v>
      </c>
      <c r="B52" s="1" t="s">
        <v>66</v>
      </c>
      <c r="C52" s="2">
        <v>2017</v>
      </c>
      <c r="D52" s="2">
        <f>TouristNumber[[#This Row],[Year]]+543</f>
        <v>2560</v>
      </c>
      <c r="E52" s="4">
        <v>80799</v>
      </c>
    </row>
    <row r="53" spans="1:5">
      <c r="A53" s="1" t="s">
        <v>67</v>
      </c>
      <c r="B53" s="1" t="s">
        <v>68</v>
      </c>
      <c r="C53" s="2">
        <v>2017</v>
      </c>
      <c r="D53" s="2">
        <f>TouristNumber[[#This Row],[Year]]+543</f>
        <v>2560</v>
      </c>
      <c r="E53" s="4">
        <v>91182</v>
      </c>
    </row>
    <row r="54" spans="1:5">
      <c r="A54" s="1" t="s">
        <v>67</v>
      </c>
      <c r="B54" s="1" t="s">
        <v>69</v>
      </c>
      <c r="C54" s="2">
        <v>2017</v>
      </c>
      <c r="D54" s="2">
        <f>TouristNumber[[#This Row],[Year]]+543</f>
        <v>2560</v>
      </c>
      <c r="E54" s="4">
        <v>101112</v>
      </c>
    </row>
    <row r="55" spans="1:5">
      <c r="A55" s="1" t="s">
        <v>5</v>
      </c>
      <c r="B55" s="1" t="s">
        <v>6</v>
      </c>
      <c r="C55" s="2">
        <v>2018</v>
      </c>
      <c r="D55" s="2">
        <f>TouristNumber[[#This Row],[Year]]+543</f>
        <v>2561</v>
      </c>
      <c r="E55" s="5">
        <v>18460</v>
      </c>
    </row>
    <row r="56" spans="1:5">
      <c r="A56" s="1" t="s">
        <v>5</v>
      </c>
      <c r="B56" s="1" t="s">
        <v>7</v>
      </c>
      <c r="C56" s="2">
        <v>2018</v>
      </c>
      <c r="D56" s="2">
        <f>TouristNumber[[#This Row],[Year]]+543</f>
        <v>2561</v>
      </c>
      <c r="E56" s="5">
        <v>950980</v>
      </c>
    </row>
    <row r="57" spans="1:5">
      <c r="A57" s="1" t="s">
        <v>5</v>
      </c>
      <c r="B57" s="1" t="s">
        <v>8</v>
      </c>
      <c r="C57" s="2">
        <v>2018</v>
      </c>
      <c r="D57" s="2">
        <f>TouristNumber[[#This Row],[Year]]+543</f>
        <v>2561</v>
      </c>
      <c r="E57" s="5">
        <v>644479</v>
      </c>
    </row>
    <row r="58" spans="1:5">
      <c r="A58" s="1" t="s">
        <v>5</v>
      </c>
      <c r="B58" s="1" t="s">
        <v>9</v>
      </c>
      <c r="C58" s="2">
        <v>2018</v>
      </c>
      <c r="D58" s="2">
        <f>TouristNumber[[#This Row],[Year]]+543</f>
        <v>2561</v>
      </c>
      <c r="E58" s="5">
        <v>1682304</v>
      </c>
    </row>
    <row r="59" spans="1:5">
      <c r="A59" s="1" t="s">
        <v>5</v>
      </c>
      <c r="B59" s="1" t="s">
        <v>10</v>
      </c>
      <c r="C59" s="2">
        <v>2018</v>
      </c>
      <c r="D59" s="2">
        <f>TouristNumber[[#This Row],[Year]]+543</f>
        <v>2561</v>
      </c>
      <c r="E59" s="5">
        <v>4042998</v>
      </c>
    </row>
    <row r="60" spans="1:5">
      <c r="A60" s="1" t="s">
        <v>5</v>
      </c>
      <c r="B60" s="1" t="s">
        <v>11</v>
      </c>
      <c r="C60" s="2">
        <v>2018</v>
      </c>
      <c r="D60" s="2">
        <f>TouristNumber[[#This Row],[Year]]+543</f>
        <v>2561</v>
      </c>
      <c r="E60" s="5">
        <v>379880</v>
      </c>
    </row>
    <row r="61" spans="1:5">
      <c r="A61" s="1" t="s">
        <v>5</v>
      </c>
      <c r="B61" s="1" t="s">
        <v>12</v>
      </c>
      <c r="C61" s="2">
        <v>2018</v>
      </c>
      <c r="D61" s="2">
        <f>TouristNumber[[#This Row],[Year]]+543</f>
        <v>2561</v>
      </c>
      <c r="E61" s="5">
        <v>407832</v>
      </c>
    </row>
    <row r="62" spans="1:5">
      <c r="A62" s="1" t="s">
        <v>5</v>
      </c>
      <c r="B62" s="1" t="s">
        <v>13</v>
      </c>
      <c r="C62" s="2">
        <v>2018</v>
      </c>
      <c r="D62" s="2">
        <f>TouristNumber[[#This Row],[Year]]+543</f>
        <v>2561</v>
      </c>
      <c r="E62" s="5">
        <v>1168112</v>
      </c>
    </row>
    <row r="63" spans="1:5">
      <c r="A63" s="1" t="s">
        <v>5</v>
      </c>
      <c r="B63" s="1" t="s">
        <v>14</v>
      </c>
      <c r="C63" s="2">
        <v>2018</v>
      </c>
      <c r="D63" s="2">
        <f>TouristNumber[[#This Row],[Year]]+543</f>
        <v>2561</v>
      </c>
      <c r="E63" s="5">
        <v>1053723</v>
      </c>
    </row>
    <row r="64" spans="1:5">
      <c r="A64" s="1" t="s">
        <v>15</v>
      </c>
      <c r="B64" s="1" t="s">
        <v>16</v>
      </c>
      <c r="C64" s="2">
        <v>2018</v>
      </c>
      <c r="D64" s="2">
        <f>TouristNumber[[#This Row],[Year]]+543</f>
        <v>2561</v>
      </c>
      <c r="E64" s="5">
        <v>10625167</v>
      </c>
    </row>
    <row r="65" spans="1:5">
      <c r="A65" s="1" t="s">
        <v>15</v>
      </c>
      <c r="B65" s="1" t="s">
        <v>17</v>
      </c>
      <c r="C65" s="2">
        <v>2018</v>
      </c>
      <c r="D65" s="2">
        <f>TouristNumber[[#This Row],[Year]]+543</f>
        <v>2561</v>
      </c>
      <c r="E65" s="5">
        <v>1047559</v>
      </c>
    </row>
    <row r="66" spans="1:5">
      <c r="A66" s="1" t="s">
        <v>15</v>
      </c>
      <c r="B66" s="1" t="s">
        <v>18</v>
      </c>
      <c r="C66" s="2">
        <v>2018</v>
      </c>
      <c r="D66" s="2">
        <f>TouristNumber[[#This Row],[Year]]+543</f>
        <v>2561</v>
      </c>
      <c r="E66" s="5">
        <v>1642712</v>
      </c>
    </row>
    <row r="67" spans="1:5">
      <c r="A67" s="1" t="s">
        <v>15</v>
      </c>
      <c r="B67" s="1" t="s">
        <v>19</v>
      </c>
      <c r="C67" s="2">
        <v>2018</v>
      </c>
      <c r="D67" s="2">
        <f>TouristNumber[[#This Row],[Year]]+543</f>
        <v>2561</v>
      </c>
      <c r="E67" s="5">
        <v>1785147</v>
      </c>
    </row>
    <row r="68" spans="1:5">
      <c r="A68" s="1" t="s">
        <v>15</v>
      </c>
      <c r="B68" s="1" t="s">
        <v>20</v>
      </c>
      <c r="C68" s="2">
        <v>2018</v>
      </c>
      <c r="D68" s="2">
        <f>TouristNumber[[#This Row],[Year]]+543</f>
        <v>2561</v>
      </c>
      <c r="E68" s="5">
        <v>674172</v>
      </c>
    </row>
    <row r="69" spans="1:5">
      <c r="A69" s="1" t="s">
        <v>15</v>
      </c>
      <c r="B69" s="1" t="s">
        <v>21</v>
      </c>
      <c r="C69" s="2">
        <v>2018</v>
      </c>
      <c r="D69" s="2">
        <f>TouristNumber[[#This Row],[Year]]+543</f>
        <v>2561</v>
      </c>
      <c r="E69" s="5">
        <v>101921</v>
      </c>
    </row>
    <row r="70" spans="1:5">
      <c r="A70" s="1" t="s">
        <v>22</v>
      </c>
      <c r="B70" s="1" t="s">
        <v>23</v>
      </c>
      <c r="C70" s="2">
        <v>2018</v>
      </c>
      <c r="D70" s="2">
        <f>TouristNumber[[#This Row],[Year]]+543</f>
        <v>2561</v>
      </c>
      <c r="E70" s="5">
        <v>125809</v>
      </c>
    </row>
    <row r="71" spans="1:5">
      <c r="A71" s="1" t="s">
        <v>22</v>
      </c>
      <c r="B71" s="1" t="s">
        <v>24</v>
      </c>
      <c r="C71" s="2">
        <v>2018</v>
      </c>
      <c r="D71" s="2">
        <f>TouristNumber[[#This Row],[Year]]+543</f>
        <v>2561</v>
      </c>
      <c r="E71" s="5">
        <v>1562878</v>
      </c>
    </row>
    <row r="72" spans="1:5">
      <c r="A72" s="1" t="s">
        <v>22</v>
      </c>
      <c r="B72" s="1" t="s">
        <v>25</v>
      </c>
      <c r="C72" s="2">
        <v>2018</v>
      </c>
      <c r="D72" s="2">
        <f>TouristNumber[[#This Row],[Year]]+543</f>
        <v>2561</v>
      </c>
      <c r="E72" s="5">
        <v>55482</v>
      </c>
    </row>
    <row r="73" spans="1:5">
      <c r="A73" s="1" t="s">
        <v>22</v>
      </c>
      <c r="B73" s="1" t="s">
        <v>26</v>
      </c>
      <c r="C73" s="2">
        <v>2018</v>
      </c>
      <c r="D73" s="2">
        <f>TouristNumber[[#This Row],[Year]]+543</f>
        <v>2561</v>
      </c>
      <c r="E73" s="5">
        <v>78256</v>
      </c>
    </row>
    <row r="74" spans="1:5">
      <c r="A74" s="1" t="s">
        <v>22</v>
      </c>
      <c r="B74" s="1" t="s">
        <v>27</v>
      </c>
      <c r="C74" s="2">
        <v>2018</v>
      </c>
      <c r="D74" s="2">
        <f>TouristNumber[[#This Row],[Year]]+543</f>
        <v>2561</v>
      </c>
      <c r="E74" s="5">
        <v>62697</v>
      </c>
    </row>
    <row r="75" spans="1:5">
      <c r="A75" s="1" t="s">
        <v>22</v>
      </c>
      <c r="B75" s="1" t="s">
        <v>28</v>
      </c>
      <c r="C75" s="2">
        <v>2018</v>
      </c>
      <c r="D75" s="2">
        <f>TouristNumber[[#This Row],[Year]]+543</f>
        <v>2561</v>
      </c>
      <c r="E75" s="5">
        <v>50761</v>
      </c>
    </row>
    <row r="76" spans="1:5">
      <c r="A76" s="1" t="s">
        <v>29</v>
      </c>
      <c r="B76" s="1" t="s">
        <v>30</v>
      </c>
      <c r="C76" s="2">
        <v>2018</v>
      </c>
      <c r="D76" s="2">
        <f>TouristNumber[[#This Row],[Year]]+543</f>
        <v>2561</v>
      </c>
      <c r="E76" s="5">
        <v>802234</v>
      </c>
    </row>
    <row r="77" spans="1:5">
      <c r="A77" s="1" t="s">
        <v>29</v>
      </c>
      <c r="B77" s="1" t="s">
        <v>31</v>
      </c>
      <c r="C77" s="2">
        <v>2018</v>
      </c>
      <c r="D77" s="2">
        <f>TouristNumber[[#This Row],[Year]]+543</f>
        <v>2561</v>
      </c>
      <c r="E77" s="5">
        <v>100887</v>
      </c>
    </row>
    <row r="78" spans="1:5">
      <c r="A78" s="1" t="s">
        <v>29</v>
      </c>
      <c r="B78" s="1" t="s">
        <v>32</v>
      </c>
      <c r="C78" s="2">
        <v>2018</v>
      </c>
      <c r="D78" s="2">
        <f>TouristNumber[[#This Row],[Year]]+543</f>
        <v>2561</v>
      </c>
      <c r="E78" s="5">
        <v>7917</v>
      </c>
    </row>
    <row r="79" spans="1:5">
      <c r="A79" s="1" t="s">
        <v>33</v>
      </c>
      <c r="B79" s="1" t="s">
        <v>34</v>
      </c>
      <c r="C79" s="2">
        <v>2018</v>
      </c>
      <c r="D79" s="2">
        <f>TouristNumber[[#This Row],[Year]]+543</f>
        <v>2561</v>
      </c>
      <c r="E79" s="5">
        <v>18161</v>
      </c>
    </row>
    <row r="80" spans="1:5">
      <c r="A80" s="1" t="s">
        <v>33</v>
      </c>
      <c r="B80" s="1" t="s">
        <v>35</v>
      </c>
      <c r="C80" s="2">
        <v>2018</v>
      </c>
      <c r="D80" s="2">
        <f>TouristNumber[[#This Row],[Year]]+543</f>
        <v>2561</v>
      </c>
      <c r="E80" s="5">
        <v>77365</v>
      </c>
    </row>
    <row r="81" spans="1:5">
      <c r="A81" s="1" t="s">
        <v>33</v>
      </c>
      <c r="B81" s="1" t="s">
        <v>36</v>
      </c>
      <c r="C81" s="2">
        <v>2018</v>
      </c>
      <c r="D81" s="2">
        <f>TouristNumber[[#This Row],[Year]]+543</f>
        <v>2561</v>
      </c>
      <c r="E81" s="5">
        <v>35090</v>
      </c>
    </row>
    <row r="82" spans="1:5">
      <c r="A82" s="1" t="s">
        <v>33</v>
      </c>
      <c r="B82" s="1" t="s">
        <v>37</v>
      </c>
      <c r="C82" s="2">
        <v>2018</v>
      </c>
      <c r="D82" s="2">
        <f>TouristNumber[[#This Row],[Year]]+543</f>
        <v>2561</v>
      </c>
      <c r="E82" s="5">
        <v>151137</v>
      </c>
    </row>
    <row r="83" spans="1:5">
      <c r="A83" s="1" t="s">
        <v>33</v>
      </c>
      <c r="B83" s="1" t="s">
        <v>38</v>
      </c>
      <c r="C83" s="2">
        <v>2018</v>
      </c>
      <c r="D83" s="2">
        <f>TouristNumber[[#This Row],[Year]]+543</f>
        <v>2561</v>
      </c>
      <c r="E83" s="5">
        <v>300677</v>
      </c>
    </row>
    <row r="84" spans="1:5">
      <c r="A84" s="1" t="s">
        <v>39</v>
      </c>
      <c r="B84" s="1" t="s">
        <v>40</v>
      </c>
      <c r="C84" s="2">
        <v>2018</v>
      </c>
      <c r="D84" s="2">
        <f>TouristNumber[[#This Row],[Year]]+543</f>
        <v>2561</v>
      </c>
      <c r="E84" s="5">
        <v>170044</v>
      </c>
    </row>
    <row r="85" spans="1:5">
      <c r="A85" s="1" t="s">
        <v>39</v>
      </c>
      <c r="B85" s="1" t="s">
        <v>41</v>
      </c>
      <c r="C85" s="2">
        <v>2018</v>
      </c>
      <c r="D85" s="2">
        <f>TouristNumber[[#This Row],[Year]]+543</f>
        <v>2561</v>
      </c>
      <c r="E85" s="5">
        <v>135384</v>
      </c>
    </row>
    <row r="86" spans="1:5">
      <c r="A86" s="1" t="s">
        <v>39</v>
      </c>
      <c r="B86" s="1" t="s">
        <v>42</v>
      </c>
      <c r="C86" s="2">
        <v>2018</v>
      </c>
      <c r="D86" s="2">
        <f>TouristNumber[[#This Row],[Year]]+543</f>
        <v>2561</v>
      </c>
      <c r="E86" s="5">
        <v>133020</v>
      </c>
    </row>
    <row r="87" spans="1:5">
      <c r="A87" s="1" t="s">
        <v>39</v>
      </c>
      <c r="B87" s="1" t="s">
        <v>43</v>
      </c>
      <c r="C87" s="2">
        <v>2018</v>
      </c>
      <c r="D87" s="2">
        <f>TouristNumber[[#This Row],[Year]]+543</f>
        <v>2561</v>
      </c>
      <c r="E87" s="5">
        <v>304206</v>
      </c>
    </row>
    <row r="88" spans="1:5">
      <c r="A88" s="1" t="s">
        <v>39</v>
      </c>
      <c r="B88" s="1" t="s">
        <v>44</v>
      </c>
      <c r="C88" s="2">
        <v>2018</v>
      </c>
      <c r="D88" s="2">
        <f>TouristNumber[[#This Row],[Year]]+543</f>
        <v>2561</v>
      </c>
      <c r="E88" s="5">
        <v>954404</v>
      </c>
    </row>
    <row r="89" spans="1:5">
      <c r="A89" s="1" t="s">
        <v>45</v>
      </c>
      <c r="B89" s="1" t="s">
        <v>46</v>
      </c>
      <c r="C89" s="2">
        <v>2018</v>
      </c>
      <c r="D89" s="2">
        <f>TouristNumber[[#This Row],[Year]]+543</f>
        <v>2561</v>
      </c>
      <c r="E89" s="5">
        <v>114768</v>
      </c>
    </row>
    <row r="90" spans="1:5">
      <c r="A90" s="1" t="s">
        <v>45</v>
      </c>
      <c r="B90" s="1" t="s">
        <v>47</v>
      </c>
      <c r="C90" s="2">
        <v>2018</v>
      </c>
      <c r="D90" s="2">
        <f>TouristNumber[[#This Row],[Year]]+543</f>
        <v>2561</v>
      </c>
      <c r="E90" s="5">
        <v>116346</v>
      </c>
    </row>
    <row r="91" spans="1:5">
      <c r="A91" s="1" t="s">
        <v>45</v>
      </c>
      <c r="B91" s="1" t="s">
        <v>48</v>
      </c>
      <c r="C91" s="2">
        <v>2018</v>
      </c>
      <c r="D91" s="2">
        <f>TouristNumber[[#This Row],[Year]]+543</f>
        <v>2561</v>
      </c>
      <c r="E91" s="5">
        <v>724350</v>
      </c>
    </row>
    <row r="92" spans="1:5">
      <c r="A92" s="1" t="s">
        <v>45</v>
      </c>
      <c r="B92" s="1" t="s">
        <v>49</v>
      </c>
      <c r="C92" s="2">
        <v>2018</v>
      </c>
      <c r="D92" s="2">
        <f>TouristNumber[[#This Row],[Year]]+543</f>
        <v>2561</v>
      </c>
      <c r="E92" s="5">
        <v>872185</v>
      </c>
    </row>
    <row r="93" spans="1:5">
      <c r="A93" s="1" t="s">
        <v>45</v>
      </c>
      <c r="B93" s="1" t="s">
        <v>50</v>
      </c>
      <c r="C93" s="2">
        <v>2018</v>
      </c>
      <c r="D93" s="2">
        <f>TouristNumber[[#This Row],[Year]]+543</f>
        <v>2561</v>
      </c>
      <c r="E93" s="5">
        <v>226618</v>
      </c>
    </row>
    <row r="94" spans="1:5">
      <c r="A94" s="1" t="s">
        <v>45</v>
      </c>
      <c r="B94" s="1" t="s">
        <v>51</v>
      </c>
      <c r="C94" s="2">
        <v>2018</v>
      </c>
      <c r="D94" s="2">
        <f>TouristNumber[[#This Row],[Year]]+543</f>
        <v>2561</v>
      </c>
      <c r="E94" s="5">
        <v>225985</v>
      </c>
    </row>
    <row r="95" spans="1:5">
      <c r="A95" s="1" t="s">
        <v>52</v>
      </c>
      <c r="B95" s="1" t="s">
        <v>53</v>
      </c>
      <c r="C95" s="2">
        <v>2018</v>
      </c>
      <c r="D95" s="2">
        <f>TouristNumber[[#This Row],[Year]]+543</f>
        <v>2561</v>
      </c>
      <c r="E95" s="4">
        <v>1466457</v>
      </c>
    </row>
    <row r="96" spans="1:5">
      <c r="A96" s="1" t="s">
        <v>33</v>
      </c>
      <c r="B96" s="1" t="s">
        <v>54</v>
      </c>
      <c r="C96" s="2">
        <v>2018</v>
      </c>
      <c r="D96" s="2">
        <f>TouristNumber[[#This Row],[Year]]+543</f>
        <v>2561</v>
      </c>
      <c r="E96" s="5">
        <v>185366</v>
      </c>
    </row>
    <row r="97" spans="1:5">
      <c r="A97" s="1" t="s">
        <v>55</v>
      </c>
      <c r="B97" s="1" t="s">
        <v>56</v>
      </c>
      <c r="C97" s="2">
        <v>2018</v>
      </c>
      <c r="D97" s="2">
        <f>TouristNumber[[#This Row],[Year]]+543</f>
        <v>2561</v>
      </c>
      <c r="E97" s="4">
        <v>263515</v>
      </c>
    </row>
    <row r="98" spans="1:5">
      <c r="A98" s="1" t="s">
        <v>55</v>
      </c>
      <c r="B98" s="1" t="s">
        <v>57</v>
      </c>
      <c r="C98" s="2">
        <v>2018</v>
      </c>
      <c r="D98" s="2">
        <f>TouristNumber[[#This Row],[Year]]+543</f>
        <v>2561</v>
      </c>
      <c r="E98" s="4">
        <v>176597</v>
      </c>
    </row>
    <row r="99" spans="1:5">
      <c r="A99" s="1" t="s">
        <v>58</v>
      </c>
      <c r="B99" s="1" t="s">
        <v>59</v>
      </c>
      <c r="C99" s="2">
        <v>2018</v>
      </c>
      <c r="D99" s="2">
        <f>TouristNumber[[#This Row],[Year]]+543</f>
        <v>2561</v>
      </c>
      <c r="E99" s="5">
        <v>487669</v>
      </c>
    </row>
    <row r="100" spans="1:5">
      <c r="A100" s="1" t="s">
        <v>58</v>
      </c>
      <c r="B100" s="1" t="s">
        <v>60</v>
      </c>
      <c r="C100" s="2">
        <v>2018</v>
      </c>
      <c r="D100" s="2">
        <f>TouristNumber[[#This Row],[Year]]+543</f>
        <v>2561</v>
      </c>
      <c r="E100" s="5">
        <v>232147</v>
      </c>
    </row>
    <row r="101" spans="1:5">
      <c r="A101" s="1" t="s">
        <v>61</v>
      </c>
      <c r="B101" s="1" t="s">
        <v>62</v>
      </c>
      <c r="C101" s="2">
        <v>2018</v>
      </c>
      <c r="D101" s="2">
        <f>TouristNumber[[#This Row],[Year]]+543</f>
        <v>2561</v>
      </c>
      <c r="E101" s="5">
        <v>252763</v>
      </c>
    </row>
    <row r="102" spans="1:5">
      <c r="A102" s="1" t="s">
        <v>61</v>
      </c>
      <c r="B102" s="1" t="s">
        <v>63</v>
      </c>
      <c r="C102" s="2">
        <v>2018</v>
      </c>
      <c r="D102" s="2">
        <f>TouristNumber[[#This Row],[Year]]+543</f>
        <v>2561</v>
      </c>
      <c r="E102" s="5">
        <v>1096177</v>
      </c>
    </row>
    <row r="103" spans="1:5">
      <c r="A103" s="1" t="s">
        <v>61</v>
      </c>
      <c r="B103" s="1" t="s">
        <v>64</v>
      </c>
      <c r="C103" s="2">
        <v>2018</v>
      </c>
      <c r="D103" s="2">
        <f>TouristNumber[[#This Row],[Year]]+543</f>
        <v>2561</v>
      </c>
      <c r="E103" s="5">
        <v>43485</v>
      </c>
    </row>
    <row r="104" spans="1:5">
      <c r="A104" s="1" t="s">
        <v>61</v>
      </c>
      <c r="B104" s="1" t="s">
        <v>65</v>
      </c>
      <c r="C104" s="2">
        <v>2018</v>
      </c>
      <c r="D104" s="2">
        <f>TouristNumber[[#This Row],[Year]]+543</f>
        <v>2561</v>
      </c>
      <c r="E104" s="5">
        <v>57105</v>
      </c>
    </row>
    <row r="105" spans="1:5">
      <c r="A105" s="1" t="s">
        <v>61</v>
      </c>
      <c r="B105" s="1" t="s">
        <v>66</v>
      </c>
      <c r="C105" s="2">
        <v>2018</v>
      </c>
      <c r="D105" s="2">
        <f>TouristNumber[[#This Row],[Year]]+543</f>
        <v>2561</v>
      </c>
      <c r="E105" s="5">
        <v>84478</v>
      </c>
    </row>
    <row r="106" spans="1:5">
      <c r="A106" s="1" t="s">
        <v>67</v>
      </c>
      <c r="B106" s="1" t="s">
        <v>68</v>
      </c>
      <c r="C106" s="2">
        <v>2018</v>
      </c>
      <c r="D106" s="2">
        <f>TouristNumber[[#This Row],[Year]]+543</f>
        <v>2561</v>
      </c>
      <c r="E106" s="5">
        <v>97071</v>
      </c>
    </row>
    <row r="107" spans="1:5">
      <c r="A107" s="1" t="s">
        <v>67</v>
      </c>
      <c r="B107" s="1" t="s">
        <v>69</v>
      </c>
      <c r="C107" s="2">
        <v>2018</v>
      </c>
      <c r="D107" s="2">
        <f>TouristNumber[[#This Row],[Year]]+543</f>
        <v>2561</v>
      </c>
      <c r="E107" s="5">
        <v>103257</v>
      </c>
    </row>
    <row r="108" spans="1:5">
      <c r="A108" s="1" t="s">
        <v>5</v>
      </c>
      <c r="B108" s="1" t="s">
        <v>6</v>
      </c>
      <c r="C108" s="2">
        <v>2019</v>
      </c>
      <c r="D108" s="2">
        <f>TouristNumber[[#This Row],[Year]]+543</f>
        <v>2562</v>
      </c>
      <c r="E108" s="5">
        <v>19858</v>
      </c>
    </row>
    <row r="109" spans="1:5">
      <c r="A109" s="1" t="s">
        <v>5</v>
      </c>
      <c r="B109" s="1" t="s">
        <v>7</v>
      </c>
      <c r="C109" s="2">
        <v>2019</v>
      </c>
      <c r="D109" s="2">
        <f>TouristNumber[[#This Row],[Year]]+543</f>
        <v>2562</v>
      </c>
      <c r="E109" s="5">
        <v>925437</v>
      </c>
    </row>
    <row r="110" spans="1:5">
      <c r="A110" s="1" t="s">
        <v>5</v>
      </c>
      <c r="B110" s="1" t="s">
        <v>8</v>
      </c>
      <c r="C110" s="2">
        <v>2019</v>
      </c>
      <c r="D110" s="2">
        <f>TouristNumber[[#This Row],[Year]]+543</f>
        <v>2562</v>
      </c>
      <c r="E110" s="5">
        <v>706908</v>
      </c>
    </row>
    <row r="111" spans="1:5">
      <c r="A111" s="1" t="s">
        <v>5</v>
      </c>
      <c r="B111" s="1" t="s">
        <v>9</v>
      </c>
      <c r="C111" s="2">
        <v>2019</v>
      </c>
      <c r="D111" s="2">
        <f>TouristNumber[[#This Row],[Year]]+543</f>
        <v>2562</v>
      </c>
      <c r="E111" s="5">
        <v>1856762</v>
      </c>
    </row>
    <row r="112" spans="1:5">
      <c r="A112" s="1" t="s">
        <v>5</v>
      </c>
      <c r="B112" s="1" t="s">
        <v>10</v>
      </c>
      <c r="C112" s="2">
        <v>2019</v>
      </c>
      <c r="D112" s="2">
        <f>TouristNumber[[#This Row],[Year]]+543</f>
        <v>2562</v>
      </c>
      <c r="E112" s="5">
        <v>4274458</v>
      </c>
    </row>
    <row r="113" spans="1:5">
      <c r="A113" s="1" t="s">
        <v>5</v>
      </c>
      <c r="B113" s="1" t="s">
        <v>11</v>
      </c>
      <c r="C113" s="2">
        <v>2019</v>
      </c>
      <c r="D113" s="2">
        <f>TouristNumber[[#This Row],[Year]]+543</f>
        <v>2562</v>
      </c>
      <c r="E113" s="5">
        <v>389301</v>
      </c>
    </row>
    <row r="114" spans="1:5">
      <c r="A114" s="1" t="s">
        <v>5</v>
      </c>
      <c r="B114" s="1" t="s">
        <v>12</v>
      </c>
      <c r="C114" s="2">
        <v>2019</v>
      </c>
      <c r="D114" s="2">
        <f>TouristNumber[[#This Row],[Year]]+543</f>
        <v>2562</v>
      </c>
      <c r="E114" s="5">
        <v>473565</v>
      </c>
    </row>
    <row r="115" spans="1:5">
      <c r="A115" s="1" t="s">
        <v>5</v>
      </c>
      <c r="B115" s="1" t="s">
        <v>13</v>
      </c>
      <c r="C115" s="2">
        <v>2019</v>
      </c>
      <c r="D115" s="2">
        <f>TouristNumber[[#This Row],[Year]]+543</f>
        <v>2562</v>
      </c>
      <c r="E115" s="5">
        <v>1150024</v>
      </c>
    </row>
    <row r="116" spans="1:5">
      <c r="A116" s="1" t="s">
        <v>5</v>
      </c>
      <c r="B116" s="1" t="s">
        <v>14</v>
      </c>
      <c r="C116" s="2">
        <v>2019</v>
      </c>
      <c r="D116" s="2">
        <f>TouristNumber[[#This Row],[Year]]+543</f>
        <v>2562</v>
      </c>
      <c r="E116" s="5">
        <v>1080609</v>
      </c>
    </row>
    <row r="117" spans="1:5">
      <c r="A117" s="1" t="s">
        <v>15</v>
      </c>
      <c r="B117" s="1" t="s">
        <v>16</v>
      </c>
      <c r="C117" s="2">
        <v>2019</v>
      </c>
      <c r="D117" s="2">
        <f>TouristNumber[[#This Row],[Year]]+543</f>
        <v>2562</v>
      </c>
      <c r="E117" s="6">
        <v>11138658</v>
      </c>
    </row>
    <row r="118" spans="1:5">
      <c r="A118" s="1" t="s">
        <v>15</v>
      </c>
      <c r="B118" s="1" t="s">
        <v>17</v>
      </c>
      <c r="C118" s="2">
        <v>2019</v>
      </c>
      <c r="D118" s="2">
        <f>TouristNumber[[#This Row],[Year]]+543</f>
        <v>2562</v>
      </c>
      <c r="E118" s="6">
        <v>1090121</v>
      </c>
    </row>
    <row r="119" spans="1:5">
      <c r="A119" s="1" t="s">
        <v>15</v>
      </c>
      <c r="B119" s="1" t="s">
        <v>18</v>
      </c>
      <c r="C119" s="2">
        <v>2019</v>
      </c>
      <c r="D119" s="2">
        <f>TouristNumber[[#This Row],[Year]]+543</f>
        <v>2562</v>
      </c>
      <c r="E119" s="6">
        <v>1787185</v>
      </c>
    </row>
    <row r="120" spans="1:5">
      <c r="A120" s="1" t="s">
        <v>15</v>
      </c>
      <c r="B120" s="1" t="s">
        <v>19</v>
      </c>
      <c r="C120" s="2">
        <v>2019</v>
      </c>
      <c r="D120" s="2">
        <f>TouristNumber[[#This Row],[Year]]+543</f>
        <v>2562</v>
      </c>
      <c r="E120" s="6">
        <v>1880465</v>
      </c>
    </row>
    <row r="121" spans="1:5">
      <c r="A121" s="1" t="s">
        <v>15</v>
      </c>
      <c r="B121" s="1" t="s">
        <v>20</v>
      </c>
      <c r="C121" s="2">
        <v>2019</v>
      </c>
      <c r="D121" s="2">
        <f>TouristNumber[[#This Row],[Year]]+543</f>
        <v>2562</v>
      </c>
      <c r="E121" s="6">
        <v>781674</v>
      </c>
    </row>
    <row r="122" spans="1:5">
      <c r="A122" s="1" t="s">
        <v>15</v>
      </c>
      <c r="B122" s="1" t="s">
        <v>21</v>
      </c>
      <c r="C122" s="2">
        <v>2019</v>
      </c>
      <c r="D122" s="2">
        <f>TouristNumber[[#This Row],[Year]]+543</f>
        <v>2562</v>
      </c>
      <c r="E122" s="6">
        <v>114938</v>
      </c>
    </row>
    <row r="123" spans="1:5">
      <c r="A123" s="1" t="s">
        <v>22</v>
      </c>
      <c r="B123" s="1" t="s">
        <v>23</v>
      </c>
      <c r="C123" s="2">
        <v>2019</v>
      </c>
      <c r="D123" s="2">
        <f>TouristNumber[[#This Row],[Year]]+543</f>
        <v>2562</v>
      </c>
      <c r="E123" s="6">
        <v>139622</v>
      </c>
    </row>
    <row r="124" spans="1:5">
      <c r="A124" s="1" t="s">
        <v>22</v>
      </c>
      <c r="B124" s="1" t="s">
        <v>24</v>
      </c>
      <c r="C124" s="2">
        <v>2019</v>
      </c>
      <c r="D124" s="2">
        <f>TouristNumber[[#This Row],[Year]]+543</f>
        <v>2562</v>
      </c>
      <c r="E124" s="6">
        <v>1961069</v>
      </c>
    </row>
    <row r="125" spans="1:5">
      <c r="A125" s="1" t="s">
        <v>22</v>
      </c>
      <c r="B125" s="1" t="s">
        <v>25</v>
      </c>
      <c r="C125" s="2">
        <v>2019</v>
      </c>
      <c r="D125" s="2">
        <f>TouristNumber[[#This Row],[Year]]+543</f>
        <v>2562</v>
      </c>
      <c r="E125" s="6">
        <v>60428</v>
      </c>
    </row>
    <row r="126" spans="1:5">
      <c r="A126" s="1" t="s">
        <v>22</v>
      </c>
      <c r="B126" s="1" t="s">
        <v>26</v>
      </c>
      <c r="C126" s="2">
        <v>2019</v>
      </c>
      <c r="D126" s="2">
        <f>TouristNumber[[#This Row],[Year]]+543</f>
        <v>2562</v>
      </c>
      <c r="E126" s="6">
        <v>71917</v>
      </c>
    </row>
    <row r="127" spans="1:5">
      <c r="A127" s="1" t="s">
        <v>22</v>
      </c>
      <c r="B127" s="1" t="s">
        <v>27</v>
      </c>
      <c r="C127" s="2">
        <v>2019</v>
      </c>
      <c r="D127" s="2">
        <f>TouristNumber[[#This Row],[Year]]+543</f>
        <v>2562</v>
      </c>
      <c r="E127" s="6">
        <v>70247</v>
      </c>
    </row>
    <row r="128" spans="1:5">
      <c r="A128" s="1" t="s">
        <v>22</v>
      </c>
      <c r="B128" s="1" t="s">
        <v>28</v>
      </c>
      <c r="C128" s="2">
        <v>2019</v>
      </c>
      <c r="D128" s="2">
        <f>TouristNumber[[#This Row],[Year]]+543</f>
        <v>2562</v>
      </c>
      <c r="E128" s="6">
        <v>53694</v>
      </c>
    </row>
    <row r="129" spans="1:5">
      <c r="A129" s="1" t="s">
        <v>29</v>
      </c>
      <c r="B129" s="1" t="s">
        <v>30</v>
      </c>
      <c r="C129" s="2">
        <v>2019</v>
      </c>
      <c r="D129" s="2">
        <f>TouristNumber[[#This Row],[Year]]+543</f>
        <v>2562</v>
      </c>
      <c r="E129" s="6">
        <v>771798</v>
      </c>
    </row>
    <row r="130" spans="1:5">
      <c r="A130" s="1" t="s">
        <v>29</v>
      </c>
      <c r="B130" s="1" t="s">
        <v>31</v>
      </c>
      <c r="C130" s="2">
        <v>2019</v>
      </c>
      <c r="D130" s="2">
        <f>TouristNumber[[#This Row],[Year]]+543</f>
        <v>2562</v>
      </c>
      <c r="E130" s="6">
        <v>93740</v>
      </c>
    </row>
    <row r="131" spans="1:5">
      <c r="A131" s="1" t="s">
        <v>29</v>
      </c>
      <c r="B131" s="1" t="s">
        <v>32</v>
      </c>
      <c r="C131" s="2">
        <v>2019</v>
      </c>
      <c r="D131" s="2">
        <f>TouristNumber[[#This Row],[Year]]+543</f>
        <v>2562</v>
      </c>
      <c r="E131" s="6">
        <v>8616</v>
      </c>
    </row>
    <row r="132" spans="1:5">
      <c r="A132" s="1" t="s">
        <v>33</v>
      </c>
      <c r="B132" s="1" t="s">
        <v>34</v>
      </c>
      <c r="C132" s="2">
        <v>2019</v>
      </c>
      <c r="D132" s="2">
        <f>TouristNumber[[#This Row],[Year]]+543</f>
        <v>2562</v>
      </c>
      <c r="E132" s="6">
        <v>19010</v>
      </c>
    </row>
    <row r="133" spans="1:5">
      <c r="A133" s="1" t="s">
        <v>33</v>
      </c>
      <c r="B133" s="1" t="s">
        <v>35</v>
      </c>
      <c r="C133" s="2">
        <v>2019</v>
      </c>
      <c r="D133" s="2">
        <f>TouristNumber[[#This Row],[Year]]+543</f>
        <v>2562</v>
      </c>
      <c r="E133" s="6">
        <v>84504</v>
      </c>
    </row>
    <row r="134" spans="1:5">
      <c r="A134" s="1" t="s">
        <v>33</v>
      </c>
      <c r="B134" s="1" t="s">
        <v>36</v>
      </c>
      <c r="C134" s="2">
        <v>2019</v>
      </c>
      <c r="D134" s="2">
        <f>TouristNumber[[#This Row],[Year]]+543</f>
        <v>2562</v>
      </c>
      <c r="E134" s="6">
        <v>36783</v>
      </c>
    </row>
    <row r="135" spans="1:5">
      <c r="A135" s="1" t="s">
        <v>33</v>
      </c>
      <c r="B135" s="1" t="s">
        <v>37</v>
      </c>
      <c r="C135" s="2">
        <v>2019</v>
      </c>
      <c r="D135" s="2">
        <f>TouristNumber[[#This Row],[Year]]+543</f>
        <v>2562</v>
      </c>
      <c r="E135" s="6">
        <v>145530</v>
      </c>
    </row>
    <row r="136" spans="1:5">
      <c r="A136" s="1" t="s">
        <v>33</v>
      </c>
      <c r="B136" s="1" t="s">
        <v>38</v>
      </c>
      <c r="C136" s="2">
        <v>2019</v>
      </c>
      <c r="D136" s="2">
        <f>TouristNumber[[#This Row],[Year]]+543</f>
        <v>2562</v>
      </c>
      <c r="E136" s="6">
        <v>247410</v>
      </c>
    </row>
    <row r="137" spans="1:5">
      <c r="A137" s="1" t="s">
        <v>39</v>
      </c>
      <c r="B137" s="1" t="s">
        <v>40</v>
      </c>
      <c r="C137" s="2">
        <v>2019</v>
      </c>
      <c r="D137" s="2">
        <f>TouristNumber[[#This Row],[Year]]+543</f>
        <v>2562</v>
      </c>
      <c r="E137" s="6">
        <v>159526</v>
      </c>
    </row>
    <row r="138" spans="1:5">
      <c r="A138" s="1" t="s">
        <v>39</v>
      </c>
      <c r="B138" s="1" t="s">
        <v>41</v>
      </c>
      <c r="C138" s="2">
        <v>2019</v>
      </c>
      <c r="D138" s="2">
        <f>TouristNumber[[#This Row],[Year]]+543</f>
        <v>2562</v>
      </c>
      <c r="E138" s="6">
        <v>125490</v>
      </c>
    </row>
    <row r="139" spans="1:5">
      <c r="A139" s="1" t="s">
        <v>39</v>
      </c>
      <c r="B139" s="1" t="s">
        <v>42</v>
      </c>
      <c r="C139" s="2">
        <v>2019</v>
      </c>
      <c r="D139" s="2">
        <f>TouristNumber[[#This Row],[Year]]+543</f>
        <v>2562</v>
      </c>
      <c r="E139" s="6">
        <v>130509</v>
      </c>
    </row>
    <row r="140" spans="1:5">
      <c r="A140" s="1" t="s">
        <v>39</v>
      </c>
      <c r="B140" s="1" t="s">
        <v>43</v>
      </c>
      <c r="C140" s="2">
        <v>2019</v>
      </c>
      <c r="D140" s="2">
        <f>TouristNumber[[#This Row],[Year]]+543</f>
        <v>2562</v>
      </c>
      <c r="E140" s="6">
        <v>279451</v>
      </c>
    </row>
    <row r="141" spans="1:5">
      <c r="A141" s="1" t="s">
        <v>39</v>
      </c>
      <c r="B141" s="1" t="s">
        <v>44</v>
      </c>
      <c r="C141" s="2">
        <v>2019</v>
      </c>
      <c r="D141" s="2">
        <f>TouristNumber[[#This Row],[Year]]+543</f>
        <v>2562</v>
      </c>
      <c r="E141" s="6">
        <v>946774</v>
      </c>
    </row>
    <row r="142" spans="1:5">
      <c r="A142" s="1" t="s">
        <v>45</v>
      </c>
      <c r="B142" s="1" t="s">
        <v>46</v>
      </c>
      <c r="C142" s="2">
        <v>2019</v>
      </c>
      <c r="D142" s="2">
        <f>TouristNumber[[#This Row],[Year]]+543</f>
        <v>2562</v>
      </c>
      <c r="E142" s="6">
        <v>110690</v>
      </c>
    </row>
    <row r="143" spans="1:5">
      <c r="A143" s="1" t="s">
        <v>45</v>
      </c>
      <c r="B143" s="1" t="s">
        <v>47</v>
      </c>
      <c r="C143" s="2">
        <v>2019</v>
      </c>
      <c r="D143" s="2">
        <f>TouristNumber[[#This Row],[Year]]+543</f>
        <v>2562</v>
      </c>
      <c r="E143" s="6">
        <v>114016</v>
      </c>
    </row>
    <row r="144" spans="1:5">
      <c r="A144" s="1" t="s">
        <v>45</v>
      </c>
      <c r="B144" s="1" t="s">
        <v>48</v>
      </c>
      <c r="C144" s="2">
        <v>2019</v>
      </c>
      <c r="D144" s="2">
        <f>TouristNumber[[#This Row],[Year]]+543</f>
        <v>2562</v>
      </c>
      <c r="E144" s="6">
        <v>713405</v>
      </c>
    </row>
    <row r="145" spans="1:5">
      <c r="A145" s="1" t="s">
        <v>45</v>
      </c>
      <c r="B145" s="1" t="s">
        <v>49</v>
      </c>
      <c r="C145" s="2">
        <v>2019</v>
      </c>
      <c r="D145" s="2">
        <f>TouristNumber[[#This Row],[Year]]+543</f>
        <v>2562</v>
      </c>
      <c r="E145" s="6">
        <v>836926</v>
      </c>
    </row>
    <row r="146" spans="1:5">
      <c r="A146" s="1" t="s">
        <v>45</v>
      </c>
      <c r="B146" s="1" t="s">
        <v>50</v>
      </c>
      <c r="C146" s="2">
        <v>2019</v>
      </c>
      <c r="D146" s="2">
        <f>TouristNumber[[#This Row],[Year]]+543</f>
        <v>2562</v>
      </c>
      <c r="E146" s="6">
        <v>230006</v>
      </c>
    </row>
    <row r="147" spans="1:5">
      <c r="A147" s="1" t="s">
        <v>45</v>
      </c>
      <c r="B147" s="1" t="s">
        <v>51</v>
      </c>
      <c r="C147" s="2">
        <v>2019</v>
      </c>
      <c r="D147" s="2">
        <f>TouristNumber[[#This Row],[Year]]+543</f>
        <v>2562</v>
      </c>
      <c r="E147" s="6">
        <v>206087</v>
      </c>
    </row>
    <row r="148" spans="1:5">
      <c r="A148" s="1" t="s">
        <v>52</v>
      </c>
      <c r="B148" s="1" t="s">
        <v>53</v>
      </c>
      <c r="C148" s="2">
        <v>2019</v>
      </c>
      <c r="D148" s="2">
        <f>TouristNumber[[#This Row],[Year]]+543</f>
        <v>2562</v>
      </c>
      <c r="E148" s="6">
        <v>1481837</v>
      </c>
    </row>
    <row r="149" spans="1:5">
      <c r="A149" s="1" t="s">
        <v>33</v>
      </c>
      <c r="B149" s="1" t="s">
        <v>54</v>
      </c>
      <c r="C149" s="2">
        <v>2019</v>
      </c>
      <c r="D149" s="2">
        <f>TouristNumber[[#This Row],[Year]]+543</f>
        <v>2562</v>
      </c>
      <c r="E149" s="6">
        <v>194081</v>
      </c>
    </row>
    <row r="150" spans="1:5">
      <c r="A150" s="1" t="s">
        <v>55</v>
      </c>
      <c r="B150" s="1" t="s">
        <v>56</v>
      </c>
      <c r="C150" s="2">
        <v>2019</v>
      </c>
      <c r="D150" s="2">
        <f>TouristNumber[[#This Row],[Year]]+543</f>
        <v>2562</v>
      </c>
      <c r="E150" s="4">
        <v>250870</v>
      </c>
    </row>
    <row r="151" spans="1:5">
      <c r="A151" s="1" t="s">
        <v>55</v>
      </c>
      <c r="B151" s="1" t="s">
        <v>57</v>
      </c>
      <c r="C151" s="2">
        <v>2019</v>
      </c>
      <c r="D151" s="2">
        <f>TouristNumber[[#This Row],[Year]]+543</f>
        <v>2562</v>
      </c>
      <c r="E151" s="6">
        <v>186969</v>
      </c>
    </row>
    <row r="152" spans="1:5">
      <c r="A152" s="1" t="s">
        <v>58</v>
      </c>
      <c r="B152" s="1" t="s">
        <v>59</v>
      </c>
      <c r="C152" s="2">
        <v>2019</v>
      </c>
      <c r="D152" s="2">
        <f>TouristNumber[[#This Row],[Year]]+543</f>
        <v>2562</v>
      </c>
      <c r="E152" s="6">
        <v>532911</v>
      </c>
    </row>
    <row r="153" spans="1:5">
      <c r="A153" s="1" t="s">
        <v>58</v>
      </c>
      <c r="B153" s="1" t="s">
        <v>60</v>
      </c>
      <c r="C153" s="2">
        <v>2019</v>
      </c>
      <c r="D153" s="2">
        <f>TouristNumber[[#This Row],[Year]]+543</f>
        <v>2562</v>
      </c>
      <c r="E153" s="6">
        <v>225753</v>
      </c>
    </row>
    <row r="154" spans="1:5">
      <c r="A154" s="1" t="s">
        <v>61</v>
      </c>
      <c r="B154" s="1" t="s">
        <v>62</v>
      </c>
      <c r="C154" s="2">
        <v>2019</v>
      </c>
      <c r="D154" s="2">
        <f>TouristNumber[[#This Row],[Year]]+543</f>
        <v>2562</v>
      </c>
      <c r="E154" s="6">
        <v>252574</v>
      </c>
    </row>
    <row r="155" spans="1:5">
      <c r="A155" s="1" t="s">
        <v>61</v>
      </c>
      <c r="B155" s="1" t="s">
        <v>63</v>
      </c>
      <c r="C155" s="2">
        <v>2019</v>
      </c>
      <c r="D155" s="2">
        <f>TouristNumber[[#This Row],[Year]]+543</f>
        <v>2562</v>
      </c>
      <c r="E155" s="6">
        <v>1136210</v>
      </c>
    </row>
    <row r="156" spans="1:5">
      <c r="A156" s="1" t="s">
        <v>61</v>
      </c>
      <c r="B156" s="1" t="s">
        <v>64</v>
      </c>
      <c r="C156" s="2">
        <v>2019</v>
      </c>
      <c r="D156" s="2">
        <f>TouristNumber[[#This Row],[Year]]+543</f>
        <v>2562</v>
      </c>
      <c r="E156" s="6">
        <v>28183</v>
      </c>
    </row>
    <row r="157" spans="1:5">
      <c r="A157" s="1" t="s">
        <v>61</v>
      </c>
      <c r="B157" s="1" t="s">
        <v>65</v>
      </c>
      <c r="C157" s="2">
        <v>2019</v>
      </c>
      <c r="D157" s="2">
        <f>TouristNumber[[#This Row],[Year]]+543</f>
        <v>2562</v>
      </c>
      <c r="E157" s="6">
        <v>58970</v>
      </c>
    </row>
    <row r="158" spans="1:5">
      <c r="A158" s="1" t="s">
        <v>61</v>
      </c>
      <c r="B158" s="1" t="s">
        <v>66</v>
      </c>
      <c r="C158" s="2">
        <v>2019</v>
      </c>
      <c r="D158" s="2">
        <f>TouristNumber[[#This Row],[Year]]+543</f>
        <v>2562</v>
      </c>
      <c r="E158" s="6">
        <v>83863</v>
      </c>
    </row>
    <row r="159" spans="1:5">
      <c r="A159" s="1" t="s">
        <v>67</v>
      </c>
      <c r="B159" s="1" t="s">
        <v>68</v>
      </c>
      <c r="C159" s="2">
        <v>2019</v>
      </c>
      <c r="D159" s="2">
        <f>TouristNumber[[#This Row],[Year]]+543</f>
        <v>2562</v>
      </c>
      <c r="E159" s="6">
        <v>89750</v>
      </c>
    </row>
    <row r="160" spans="1:5">
      <c r="A160" s="1" t="s">
        <v>67</v>
      </c>
      <c r="B160" s="1" t="s">
        <v>69</v>
      </c>
      <c r="C160" s="2">
        <v>2019</v>
      </c>
      <c r="D160" s="2">
        <f>TouristNumber[[#This Row],[Year]]+543</f>
        <v>2562</v>
      </c>
      <c r="E160" s="6">
        <v>107069</v>
      </c>
    </row>
    <row r="161" spans="1:5">
      <c r="A161" s="1" t="s">
        <v>5</v>
      </c>
      <c r="B161" s="1" t="s">
        <v>6</v>
      </c>
      <c r="C161" s="2">
        <v>2020</v>
      </c>
      <c r="D161" s="2">
        <f>TouristNumber[[#This Row],[Year]]+543</f>
        <v>2563</v>
      </c>
      <c r="E161" s="6">
        <v>2444</v>
      </c>
    </row>
    <row r="162" spans="1:5">
      <c r="A162" s="1" t="s">
        <v>5</v>
      </c>
      <c r="B162" s="1" t="s">
        <v>7</v>
      </c>
      <c r="C162" s="2">
        <v>2020</v>
      </c>
      <c r="D162" s="2">
        <f>TouristNumber[[#This Row],[Year]]+543</f>
        <v>2563</v>
      </c>
      <c r="E162" s="6">
        <v>164270</v>
      </c>
    </row>
    <row r="163" spans="1:5">
      <c r="A163" s="1" t="s">
        <v>5</v>
      </c>
      <c r="B163" s="1" t="s">
        <v>8</v>
      </c>
      <c r="C163" s="2">
        <v>2020</v>
      </c>
      <c r="D163" s="2">
        <f>TouristNumber[[#This Row],[Year]]+543</f>
        <v>2563</v>
      </c>
      <c r="E163" s="6">
        <v>96993</v>
      </c>
    </row>
    <row r="164" spans="1:5">
      <c r="A164" s="1" t="s">
        <v>5</v>
      </c>
      <c r="B164" s="1" t="s">
        <v>9</v>
      </c>
      <c r="C164" s="2">
        <v>2020</v>
      </c>
      <c r="D164" s="2">
        <f>TouristNumber[[#This Row],[Year]]+543</f>
        <v>2563</v>
      </c>
      <c r="E164" s="6">
        <v>382246</v>
      </c>
    </row>
    <row r="165" spans="1:5">
      <c r="A165" s="1" t="s">
        <v>5</v>
      </c>
      <c r="B165" s="1" t="s">
        <v>10</v>
      </c>
      <c r="C165" s="2">
        <v>2020</v>
      </c>
      <c r="D165" s="2">
        <f>TouristNumber[[#This Row],[Year]]+543</f>
        <v>2563</v>
      </c>
      <c r="E165" s="6">
        <v>612922</v>
      </c>
    </row>
    <row r="166" spans="1:5">
      <c r="A166" s="1" t="s">
        <v>5</v>
      </c>
      <c r="B166" s="1" t="s">
        <v>11</v>
      </c>
      <c r="C166" s="2">
        <v>2020</v>
      </c>
      <c r="D166" s="2">
        <f>TouristNumber[[#This Row],[Year]]+543</f>
        <v>2563</v>
      </c>
      <c r="E166" s="6">
        <v>54941</v>
      </c>
    </row>
    <row r="167" spans="1:5">
      <c r="A167" s="1" t="s">
        <v>5</v>
      </c>
      <c r="B167" s="1" t="s">
        <v>12</v>
      </c>
      <c r="C167" s="2">
        <v>2020</v>
      </c>
      <c r="D167" s="2">
        <f>TouristNumber[[#This Row],[Year]]+543</f>
        <v>2563</v>
      </c>
      <c r="E167" s="6">
        <v>68359</v>
      </c>
    </row>
    <row r="168" spans="1:5">
      <c r="A168" s="1" t="s">
        <v>5</v>
      </c>
      <c r="B168" s="1" t="s">
        <v>13</v>
      </c>
      <c r="C168" s="2">
        <v>2020</v>
      </c>
      <c r="D168" s="2">
        <f>TouristNumber[[#This Row],[Year]]+543</f>
        <v>2563</v>
      </c>
      <c r="E168" s="6">
        <v>132511</v>
      </c>
    </row>
    <row r="169" spans="1:5">
      <c r="A169" s="1" t="s">
        <v>5</v>
      </c>
      <c r="B169" s="1" t="s">
        <v>14</v>
      </c>
      <c r="C169" s="2">
        <v>2020</v>
      </c>
      <c r="D169" s="2">
        <f>TouristNumber[[#This Row],[Year]]+543</f>
        <v>2563</v>
      </c>
      <c r="E169" s="6">
        <v>131308</v>
      </c>
    </row>
    <row r="170" spans="1:5">
      <c r="A170" s="1" t="s">
        <v>15</v>
      </c>
      <c r="B170" s="1" t="s">
        <v>16</v>
      </c>
      <c r="C170" s="2">
        <v>2020</v>
      </c>
      <c r="D170" s="2">
        <f>TouristNumber[[#This Row],[Year]]+543</f>
        <v>2563</v>
      </c>
      <c r="E170" s="6">
        <v>1302137</v>
      </c>
    </row>
    <row r="171" spans="1:5">
      <c r="A171" s="1" t="s">
        <v>15</v>
      </c>
      <c r="B171" s="1" t="s">
        <v>17</v>
      </c>
      <c r="C171" s="2">
        <v>2020</v>
      </c>
      <c r="D171" s="2">
        <f>TouristNumber[[#This Row],[Year]]+543</f>
        <v>2563</v>
      </c>
      <c r="E171" s="6">
        <v>131988</v>
      </c>
    </row>
    <row r="172" spans="1:5">
      <c r="A172" s="1" t="s">
        <v>15</v>
      </c>
      <c r="B172" s="1" t="s">
        <v>18</v>
      </c>
      <c r="C172" s="2">
        <v>2020</v>
      </c>
      <c r="D172" s="2">
        <f>TouristNumber[[#This Row],[Year]]+543</f>
        <v>2563</v>
      </c>
      <c r="E172" s="6">
        <v>314044</v>
      </c>
    </row>
    <row r="173" spans="1:5">
      <c r="A173" s="1" t="s">
        <v>15</v>
      </c>
      <c r="B173" s="1" t="s">
        <v>19</v>
      </c>
      <c r="C173" s="2">
        <v>2020</v>
      </c>
      <c r="D173" s="2">
        <f>TouristNumber[[#This Row],[Year]]+543</f>
        <v>2563</v>
      </c>
      <c r="E173" s="6">
        <v>262313</v>
      </c>
    </row>
    <row r="174" spans="1:5">
      <c r="A174" s="1" t="s">
        <v>15</v>
      </c>
      <c r="B174" s="1" t="s">
        <v>20</v>
      </c>
      <c r="C174" s="2">
        <v>2020</v>
      </c>
      <c r="D174" s="2">
        <f>TouristNumber[[#This Row],[Year]]+543</f>
        <v>2563</v>
      </c>
      <c r="E174" s="6">
        <v>114275</v>
      </c>
    </row>
    <row r="175" spans="1:5">
      <c r="A175" s="1" t="s">
        <v>15</v>
      </c>
      <c r="B175" s="1" t="s">
        <v>21</v>
      </c>
      <c r="C175" s="2">
        <v>2020</v>
      </c>
      <c r="D175" s="2">
        <f>TouristNumber[[#This Row],[Year]]+543</f>
        <v>2563</v>
      </c>
      <c r="E175" s="6">
        <v>15299</v>
      </c>
    </row>
    <row r="176" spans="1:5">
      <c r="A176" s="1" t="s">
        <v>22</v>
      </c>
      <c r="B176" s="1" t="s">
        <v>23</v>
      </c>
      <c r="C176" s="2">
        <v>2020</v>
      </c>
      <c r="D176" s="2">
        <f>TouristNumber[[#This Row],[Year]]+543</f>
        <v>2563</v>
      </c>
      <c r="E176" s="6">
        <v>22913</v>
      </c>
    </row>
    <row r="177" spans="1:5">
      <c r="A177" s="1" t="s">
        <v>22</v>
      </c>
      <c r="B177" s="1" t="s">
        <v>24</v>
      </c>
      <c r="C177" s="2">
        <v>2020</v>
      </c>
      <c r="D177" s="2">
        <f>TouristNumber[[#This Row],[Year]]+543</f>
        <v>2563</v>
      </c>
      <c r="E177" s="6">
        <v>265223</v>
      </c>
    </row>
    <row r="178" spans="1:5">
      <c r="A178" s="1" t="s">
        <v>22</v>
      </c>
      <c r="B178" s="1" t="s">
        <v>25</v>
      </c>
      <c r="C178" s="2">
        <v>2020</v>
      </c>
      <c r="D178" s="2">
        <f>TouristNumber[[#This Row],[Year]]+543</f>
        <v>2563</v>
      </c>
      <c r="E178" s="6">
        <v>10396</v>
      </c>
    </row>
    <row r="179" spans="1:5">
      <c r="A179" s="1" t="s">
        <v>22</v>
      </c>
      <c r="B179" s="1" t="s">
        <v>26</v>
      </c>
      <c r="C179" s="2">
        <v>2020</v>
      </c>
      <c r="D179" s="2">
        <f>TouristNumber[[#This Row],[Year]]+543</f>
        <v>2563</v>
      </c>
      <c r="E179" s="6">
        <v>11519</v>
      </c>
    </row>
    <row r="180" spans="1:5">
      <c r="A180" s="1" t="s">
        <v>22</v>
      </c>
      <c r="B180" s="1" t="s">
        <v>27</v>
      </c>
      <c r="C180" s="2">
        <v>2020</v>
      </c>
      <c r="D180" s="2">
        <f>TouristNumber[[#This Row],[Year]]+543</f>
        <v>2563</v>
      </c>
      <c r="E180" s="6">
        <v>8375</v>
      </c>
    </row>
    <row r="181" spans="1:5">
      <c r="A181" s="1" t="s">
        <v>22</v>
      </c>
      <c r="B181" s="1" t="s">
        <v>28</v>
      </c>
      <c r="C181" s="2">
        <v>2020</v>
      </c>
      <c r="D181" s="2">
        <f>TouristNumber[[#This Row],[Year]]+543</f>
        <v>2563</v>
      </c>
      <c r="E181" s="6">
        <v>8462</v>
      </c>
    </row>
    <row r="182" spans="1:5">
      <c r="A182" s="1" t="s">
        <v>29</v>
      </c>
      <c r="B182" s="1" t="s">
        <v>30</v>
      </c>
      <c r="C182" s="2">
        <v>2020</v>
      </c>
      <c r="D182" s="2">
        <f>TouristNumber[[#This Row],[Year]]+543</f>
        <v>2563</v>
      </c>
      <c r="E182" s="6">
        <v>123743</v>
      </c>
    </row>
    <row r="183" spans="1:5">
      <c r="A183" s="1" t="s">
        <v>29</v>
      </c>
      <c r="B183" s="1" t="s">
        <v>31</v>
      </c>
      <c r="C183" s="2">
        <v>2020</v>
      </c>
      <c r="D183" s="2">
        <f>TouristNumber[[#This Row],[Year]]+543</f>
        <v>2563</v>
      </c>
      <c r="E183" s="6">
        <v>13773</v>
      </c>
    </row>
    <row r="184" spans="1:5">
      <c r="A184" s="1" t="s">
        <v>29</v>
      </c>
      <c r="B184" s="1" t="s">
        <v>32</v>
      </c>
      <c r="C184" s="2">
        <v>2020</v>
      </c>
      <c r="D184" s="2">
        <f>TouristNumber[[#This Row],[Year]]+543</f>
        <v>2563</v>
      </c>
      <c r="E184" s="6">
        <v>1458</v>
      </c>
    </row>
    <row r="185" spans="1:5">
      <c r="A185" s="1" t="s">
        <v>33</v>
      </c>
      <c r="B185" s="1" t="s">
        <v>34</v>
      </c>
      <c r="C185" s="2">
        <v>2020</v>
      </c>
      <c r="D185" s="2">
        <f>TouristNumber[[#This Row],[Year]]+543</f>
        <v>2563</v>
      </c>
      <c r="E185" s="6">
        <v>3084</v>
      </c>
    </row>
    <row r="186" spans="1:5">
      <c r="A186" s="1" t="s">
        <v>33</v>
      </c>
      <c r="B186" s="1" t="s">
        <v>35</v>
      </c>
      <c r="C186" s="2">
        <v>2020</v>
      </c>
      <c r="D186" s="2">
        <f>TouristNumber[[#This Row],[Year]]+543</f>
        <v>2563</v>
      </c>
      <c r="E186" s="6">
        <v>11149</v>
      </c>
    </row>
    <row r="187" spans="1:5">
      <c r="A187" s="1" t="s">
        <v>33</v>
      </c>
      <c r="B187" s="1" t="s">
        <v>36</v>
      </c>
      <c r="C187" s="2">
        <v>2020</v>
      </c>
      <c r="D187" s="2">
        <f>TouristNumber[[#This Row],[Year]]+543</f>
        <v>2563</v>
      </c>
      <c r="E187" s="6">
        <v>6372</v>
      </c>
    </row>
    <row r="188" spans="1:5">
      <c r="A188" s="1" t="s">
        <v>33</v>
      </c>
      <c r="B188" s="1" t="s">
        <v>37</v>
      </c>
      <c r="C188" s="2">
        <v>2020</v>
      </c>
      <c r="D188" s="2">
        <f>TouristNumber[[#This Row],[Year]]+543</f>
        <v>2563</v>
      </c>
      <c r="E188" s="6">
        <v>9550</v>
      </c>
    </row>
    <row r="189" spans="1:5">
      <c r="A189" s="1" t="s">
        <v>33</v>
      </c>
      <c r="B189" s="1" t="s">
        <v>38</v>
      </c>
      <c r="C189" s="2">
        <v>2020</v>
      </c>
      <c r="D189" s="2">
        <f>TouristNumber[[#This Row],[Year]]+543</f>
        <v>2563</v>
      </c>
      <c r="E189" s="6">
        <v>25507</v>
      </c>
    </row>
    <row r="190" spans="1:5">
      <c r="A190" s="1" t="s">
        <v>39</v>
      </c>
      <c r="B190" s="1" t="s">
        <v>40</v>
      </c>
      <c r="C190" s="2">
        <v>2020</v>
      </c>
      <c r="D190" s="2">
        <f>TouristNumber[[#This Row],[Year]]+543</f>
        <v>2563</v>
      </c>
      <c r="E190" s="6">
        <v>62962</v>
      </c>
    </row>
    <row r="191" spans="1:5">
      <c r="A191" s="1" t="s">
        <v>39</v>
      </c>
      <c r="B191" s="1" t="s">
        <v>41</v>
      </c>
      <c r="C191" s="2">
        <v>2020</v>
      </c>
      <c r="D191" s="2">
        <f>TouristNumber[[#This Row],[Year]]+543</f>
        <v>2563</v>
      </c>
      <c r="E191" s="6">
        <v>57927</v>
      </c>
    </row>
    <row r="192" spans="1:5">
      <c r="A192" s="1" t="s">
        <v>39</v>
      </c>
      <c r="B192" s="1" t="s">
        <v>42</v>
      </c>
      <c r="C192" s="2">
        <v>2020</v>
      </c>
      <c r="D192" s="2">
        <f>TouristNumber[[#This Row],[Year]]+543</f>
        <v>2563</v>
      </c>
      <c r="E192" s="6">
        <v>39082</v>
      </c>
    </row>
    <row r="193" spans="1:5">
      <c r="A193" s="1" t="s">
        <v>39</v>
      </c>
      <c r="B193" s="1" t="s">
        <v>43</v>
      </c>
      <c r="C193" s="2">
        <v>2020</v>
      </c>
      <c r="D193" s="2">
        <f>TouristNumber[[#This Row],[Year]]+543</f>
        <v>2563</v>
      </c>
      <c r="E193" s="6">
        <v>108921</v>
      </c>
    </row>
    <row r="194" spans="1:5">
      <c r="A194" s="1" t="s">
        <v>39</v>
      </c>
      <c r="B194" s="1" t="s">
        <v>44</v>
      </c>
      <c r="C194" s="2">
        <v>2020</v>
      </c>
      <c r="D194" s="2">
        <f>TouristNumber[[#This Row],[Year]]+543</f>
        <v>2563</v>
      </c>
      <c r="E194" s="6">
        <v>215861</v>
      </c>
    </row>
    <row r="195" spans="1:5">
      <c r="A195" s="1" t="s">
        <v>45</v>
      </c>
      <c r="B195" s="1" t="s">
        <v>46</v>
      </c>
      <c r="C195" s="2">
        <v>2020</v>
      </c>
      <c r="D195" s="2">
        <f>TouristNumber[[#This Row],[Year]]+543</f>
        <v>2563</v>
      </c>
      <c r="E195" s="6">
        <v>34599</v>
      </c>
    </row>
    <row r="196" spans="1:5">
      <c r="A196" s="1" t="s">
        <v>45</v>
      </c>
      <c r="B196" s="1" t="s">
        <v>47</v>
      </c>
      <c r="C196" s="2">
        <v>2020</v>
      </c>
      <c r="D196" s="2">
        <f>TouristNumber[[#This Row],[Year]]+543</f>
        <v>2563</v>
      </c>
      <c r="E196" s="6">
        <v>25872</v>
      </c>
    </row>
    <row r="197" spans="1:5">
      <c r="A197" s="1" t="s">
        <v>45</v>
      </c>
      <c r="B197" s="1" t="s">
        <v>48</v>
      </c>
      <c r="C197" s="2">
        <v>2020</v>
      </c>
      <c r="D197" s="2">
        <f>TouristNumber[[#This Row],[Year]]+543</f>
        <v>2563</v>
      </c>
      <c r="E197" s="6">
        <v>231614</v>
      </c>
    </row>
    <row r="198" spans="1:5">
      <c r="A198" s="1" t="s">
        <v>45</v>
      </c>
      <c r="B198" s="1" t="s">
        <v>49</v>
      </c>
      <c r="C198" s="2">
        <v>2020</v>
      </c>
      <c r="D198" s="2">
        <f>TouristNumber[[#This Row],[Year]]+543</f>
        <v>2563</v>
      </c>
      <c r="E198" s="6">
        <v>231260</v>
      </c>
    </row>
    <row r="199" spans="1:5">
      <c r="A199" s="1" t="s">
        <v>45</v>
      </c>
      <c r="B199" s="1" t="s">
        <v>50</v>
      </c>
      <c r="C199" s="2">
        <v>2020</v>
      </c>
      <c r="D199" s="2">
        <f>TouristNumber[[#This Row],[Year]]+543</f>
        <v>2563</v>
      </c>
      <c r="E199" s="6">
        <v>50441</v>
      </c>
    </row>
    <row r="200" spans="1:5">
      <c r="A200" s="1" t="s">
        <v>45</v>
      </c>
      <c r="B200" s="1" t="s">
        <v>51</v>
      </c>
      <c r="C200" s="2">
        <v>2020</v>
      </c>
      <c r="D200" s="2">
        <f>TouristNumber[[#This Row],[Year]]+543</f>
        <v>2563</v>
      </c>
      <c r="E200" s="6">
        <v>54006</v>
      </c>
    </row>
    <row r="201" spans="1:5">
      <c r="A201" s="1" t="s">
        <v>52</v>
      </c>
      <c r="B201" s="1" t="s">
        <v>53</v>
      </c>
      <c r="C201" s="2">
        <v>2020</v>
      </c>
      <c r="D201" s="2">
        <f>TouristNumber[[#This Row],[Year]]+543</f>
        <v>2563</v>
      </c>
      <c r="E201" s="6">
        <v>586381</v>
      </c>
    </row>
    <row r="202" spans="1:5">
      <c r="A202" s="1" t="s">
        <v>33</v>
      </c>
      <c r="B202" s="1" t="s">
        <v>54</v>
      </c>
      <c r="C202" s="2">
        <v>2020</v>
      </c>
      <c r="D202" s="2">
        <f>TouristNumber[[#This Row],[Year]]+543</f>
        <v>2563</v>
      </c>
      <c r="E202" s="6">
        <v>29568</v>
      </c>
    </row>
    <row r="203" spans="1:5">
      <c r="A203" s="1" t="s">
        <v>55</v>
      </c>
      <c r="B203" s="1" t="s">
        <v>56</v>
      </c>
      <c r="C203" s="2">
        <v>2020</v>
      </c>
      <c r="D203" s="2">
        <f>TouristNumber[[#This Row],[Year]]+543</f>
        <v>2563</v>
      </c>
      <c r="E203" s="7">
        <v>58327</v>
      </c>
    </row>
    <row r="204" spans="1:5">
      <c r="A204" s="1" t="s">
        <v>55</v>
      </c>
      <c r="B204" s="1" t="s">
        <v>57</v>
      </c>
      <c r="C204" s="2">
        <v>2020</v>
      </c>
      <c r="D204" s="2">
        <f>TouristNumber[[#This Row],[Year]]+543</f>
        <v>2563</v>
      </c>
      <c r="E204" s="6">
        <v>26499</v>
      </c>
    </row>
    <row r="205" spans="1:5">
      <c r="A205" s="1" t="s">
        <v>58</v>
      </c>
      <c r="B205" s="1" t="s">
        <v>59</v>
      </c>
      <c r="C205" s="2">
        <v>2020</v>
      </c>
      <c r="D205" s="2">
        <f>TouristNumber[[#This Row],[Year]]+543</f>
        <v>2563</v>
      </c>
      <c r="E205" s="6">
        <v>211106</v>
      </c>
    </row>
    <row r="206" spans="1:5">
      <c r="A206" s="1" t="s">
        <v>58</v>
      </c>
      <c r="B206" s="1" t="s">
        <v>60</v>
      </c>
      <c r="C206" s="2">
        <v>2020</v>
      </c>
      <c r="D206" s="2">
        <f>TouristNumber[[#This Row],[Year]]+543</f>
        <v>2563</v>
      </c>
      <c r="E206" s="6">
        <v>56880</v>
      </c>
    </row>
    <row r="207" spans="1:5">
      <c r="A207" s="1" t="s">
        <v>61</v>
      </c>
      <c r="B207" s="1" t="s">
        <v>62</v>
      </c>
      <c r="C207" s="2">
        <v>2020</v>
      </c>
      <c r="D207" s="2">
        <f>TouristNumber[[#This Row],[Year]]+543</f>
        <v>2563</v>
      </c>
      <c r="E207" s="6">
        <v>55984</v>
      </c>
    </row>
    <row r="208" spans="1:5">
      <c r="A208" s="1" t="s">
        <v>61</v>
      </c>
      <c r="B208" s="1" t="s">
        <v>63</v>
      </c>
      <c r="C208" s="2">
        <v>2020</v>
      </c>
      <c r="D208" s="2">
        <f>TouristNumber[[#This Row],[Year]]+543</f>
        <v>2563</v>
      </c>
      <c r="E208" s="6">
        <v>208608</v>
      </c>
    </row>
    <row r="209" spans="1:5">
      <c r="A209" s="1" t="s">
        <v>61</v>
      </c>
      <c r="B209" s="1" t="s">
        <v>64</v>
      </c>
      <c r="C209" s="2">
        <v>2020</v>
      </c>
      <c r="D209" s="2">
        <f>TouristNumber[[#This Row],[Year]]+543</f>
        <v>2563</v>
      </c>
      <c r="E209" s="6">
        <v>12461</v>
      </c>
    </row>
    <row r="210" spans="1:5">
      <c r="A210" s="1" t="s">
        <v>61</v>
      </c>
      <c r="B210" s="1" t="s">
        <v>65</v>
      </c>
      <c r="C210" s="2">
        <v>2020</v>
      </c>
      <c r="D210" s="2">
        <f>TouristNumber[[#This Row],[Year]]+543</f>
        <v>2563</v>
      </c>
      <c r="E210" s="6">
        <v>18200</v>
      </c>
    </row>
    <row r="211" spans="1:5">
      <c r="A211" s="1" t="s">
        <v>61</v>
      </c>
      <c r="B211" s="1" t="s">
        <v>66</v>
      </c>
      <c r="C211" s="2">
        <v>2020</v>
      </c>
      <c r="D211" s="2">
        <f>TouristNumber[[#This Row],[Year]]+543</f>
        <v>2563</v>
      </c>
      <c r="E211" s="6">
        <v>15997</v>
      </c>
    </row>
    <row r="212" spans="1:5">
      <c r="A212" s="1" t="s">
        <v>67</v>
      </c>
      <c r="B212" s="1" t="s">
        <v>68</v>
      </c>
      <c r="C212" s="2">
        <v>2020</v>
      </c>
      <c r="D212" s="2">
        <f>TouristNumber[[#This Row],[Year]]+543</f>
        <v>2563</v>
      </c>
      <c r="E212" s="6">
        <v>9692</v>
      </c>
    </row>
    <row r="213" spans="1:5">
      <c r="A213" s="1" t="s">
        <v>67</v>
      </c>
      <c r="B213" s="1" t="s">
        <v>69</v>
      </c>
      <c r="C213" s="2">
        <v>2020</v>
      </c>
      <c r="D213" s="2">
        <f>TouristNumber[[#This Row],[Year]]+543</f>
        <v>2563</v>
      </c>
      <c r="E213" s="6">
        <v>15371</v>
      </c>
    </row>
    <row r="214" spans="1:5">
      <c r="A214" s="1" t="s">
        <v>5</v>
      </c>
      <c r="B214" s="1" t="s">
        <v>6</v>
      </c>
      <c r="C214" s="2">
        <v>2021</v>
      </c>
      <c r="D214" s="2">
        <f>TouristNumber[[#This Row],[Year]]+543</f>
        <v>2564</v>
      </c>
      <c r="E214" s="2">
        <v>48</v>
      </c>
    </row>
    <row r="215" spans="1:5">
      <c r="A215" s="1" t="s">
        <v>5</v>
      </c>
      <c r="B215" s="1" t="s">
        <v>7</v>
      </c>
      <c r="C215" s="2">
        <v>2021</v>
      </c>
      <c r="D215" s="2">
        <f>TouristNumber[[#This Row],[Year]]+543</f>
        <v>2564</v>
      </c>
      <c r="E215" s="6">
        <v>5535</v>
      </c>
    </row>
    <row r="216" spans="1:5">
      <c r="A216" s="1" t="s">
        <v>5</v>
      </c>
      <c r="B216" s="1" t="s">
        <v>8</v>
      </c>
      <c r="C216" s="2">
        <v>2021</v>
      </c>
      <c r="D216" s="2">
        <f>TouristNumber[[#This Row],[Year]]+543</f>
        <v>2564</v>
      </c>
      <c r="E216" s="6">
        <v>3702</v>
      </c>
    </row>
    <row r="217" spans="1:5">
      <c r="A217" s="1" t="s">
        <v>5</v>
      </c>
      <c r="B217" s="1" t="s">
        <v>9</v>
      </c>
      <c r="C217" s="2">
        <v>2021</v>
      </c>
      <c r="D217" s="2">
        <f>TouristNumber[[#This Row],[Year]]+543</f>
        <v>2564</v>
      </c>
      <c r="E217" s="6">
        <v>1016</v>
      </c>
    </row>
    <row r="218" spans="1:5">
      <c r="A218" s="1" t="s">
        <v>5</v>
      </c>
      <c r="B218" s="1" t="s">
        <v>10</v>
      </c>
      <c r="C218" s="2">
        <v>2021</v>
      </c>
      <c r="D218" s="2">
        <f>TouristNumber[[#This Row],[Year]]+543</f>
        <v>2564</v>
      </c>
      <c r="E218" s="6">
        <v>6988</v>
      </c>
    </row>
    <row r="219" spans="1:5">
      <c r="A219" s="1" t="s">
        <v>5</v>
      </c>
      <c r="B219" s="1" t="s">
        <v>11</v>
      </c>
      <c r="C219" s="2">
        <v>2021</v>
      </c>
      <c r="D219" s="2">
        <f>TouristNumber[[#This Row],[Year]]+543</f>
        <v>2564</v>
      </c>
      <c r="E219" s="6">
        <v>9110</v>
      </c>
    </row>
    <row r="220" spans="1:5">
      <c r="A220" s="1" t="s">
        <v>5</v>
      </c>
      <c r="B220" s="1" t="s">
        <v>12</v>
      </c>
      <c r="C220" s="2">
        <v>2021</v>
      </c>
      <c r="D220" s="2">
        <f>TouristNumber[[#This Row],[Year]]+543</f>
        <v>2564</v>
      </c>
      <c r="E220" s="6">
        <v>2859</v>
      </c>
    </row>
    <row r="221" spans="1:5">
      <c r="A221" s="1" t="s">
        <v>5</v>
      </c>
      <c r="B221" s="1" t="s">
        <v>13</v>
      </c>
      <c r="C221" s="2">
        <v>2021</v>
      </c>
      <c r="D221" s="2">
        <f>TouristNumber[[#This Row],[Year]]+543</f>
        <v>2564</v>
      </c>
      <c r="E221" s="6">
        <v>7268</v>
      </c>
    </row>
    <row r="222" spans="1:5">
      <c r="A222" s="1" t="s">
        <v>5</v>
      </c>
      <c r="B222" s="1" t="s">
        <v>14</v>
      </c>
      <c r="C222" s="2">
        <v>2021</v>
      </c>
      <c r="D222" s="2">
        <f>TouristNumber[[#This Row],[Year]]+543</f>
        <v>2564</v>
      </c>
      <c r="E222" s="6">
        <v>2123</v>
      </c>
    </row>
    <row r="223" spans="1:5">
      <c r="A223" s="1" t="s">
        <v>15</v>
      </c>
      <c r="B223" s="1" t="s">
        <v>16</v>
      </c>
      <c r="C223" s="2">
        <v>2021</v>
      </c>
      <c r="D223" s="2">
        <f>TouristNumber[[#This Row],[Year]]+543</f>
        <v>2564</v>
      </c>
      <c r="E223" s="6">
        <v>26558</v>
      </c>
    </row>
    <row r="224" spans="1:5">
      <c r="A224" s="1" t="s">
        <v>15</v>
      </c>
      <c r="B224" s="1" t="s">
        <v>17</v>
      </c>
      <c r="C224" s="2">
        <v>2021</v>
      </c>
      <c r="D224" s="2">
        <f>TouristNumber[[#This Row],[Year]]+543</f>
        <v>2564</v>
      </c>
      <c r="E224" s="6">
        <v>2365</v>
      </c>
    </row>
    <row r="225" spans="1:5">
      <c r="A225" s="1" t="s">
        <v>15</v>
      </c>
      <c r="B225" s="1" t="s">
        <v>18</v>
      </c>
      <c r="C225" s="2">
        <v>2021</v>
      </c>
      <c r="D225" s="2">
        <f>TouristNumber[[#This Row],[Year]]+543</f>
        <v>2564</v>
      </c>
      <c r="E225" s="6">
        <v>24382</v>
      </c>
    </row>
    <row r="226" spans="1:5">
      <c r="A226" s="1" t="s">
        <v>15</v>
      </c>
      <c r="B226" s="1" t="s">
        <v>19</v>
      </c>
      <c r="C226" s="2">
        <v>2021</v>
      </c>
      <c r="D226" s="2">
        <f>TouristNumber[[#This Row],[Year]]+543</f>
        <v>2564</v>
      </c>
      <c r="E226" s="6">
        <v>14800</v>
      </c>
    </row>
    <row r="227" spans="1:5">
      <c r="A227" s="1" t="s">
        <v>15</v>
      </c>
      <c r="B227" s="1" t="s">
        <v>20</v>
      </c>
      <c r="C227" s="2">
        <v>2021</v>
      </c>
      <c r="D227" s="2">
        <f>TouristNumber[[#This Row],[Year]]+543</f>
        <v>2564</v>
      </c>
      <c r="E227" s="6">
        <v>3819</v>
      </c>
    </row>
    <row r="228" spans="1:5">
      <c r="A228" s="1" t="s">
        <v>15</v>
      </c>
      <c r="B228" s="1" t="s">
        <v>21</v>
      </c>
      <c r="C228" s="2">
        <v>2021</v>
      </c>
      <c r="D228" s="2">
        <f>TouristNumber[[#This Row],[Year]]+543</f>
        <v>2564</v>
      </c>
      <c r="E228" s="6">
        <v>2628</v>
      </c>
    </row>
    <row r="229" spans="1:5">
      <c r="A229" s="1" t="s">
        <v>22</v>
      </c>
      <c r="B229" s="1" t="s">
        <v>23</v>
      </c>
      <c r="C229" s="2">
        <v>2021</v>
      </c>
      <c r="D229" s="2">
        <f>TouristNumber[[#This Row],[Year]]+543</f>
        <v>2564</v>
      </c>
      <c r="E229" s="6">
        <v>2202</v>
      </c>
    </row>
    <row r="230" spans="1:5">
      <c r="A230" s="1" t="s">
        <v>22</v>
      </c>
      <c r="B230" s="1" t="s">
        <v>24</v>
      </c>
      <c r="C230" s="2">
        <v>2021</v>
      </c>
      <c r="D230" s="2">
        <f>TouristNumber[[#This Row],[Year]]+543</f>
        <v>2564</v>
      </c>
      <c r="E230" s="6">
        <v>10864</v>
      </c>
    </row>
    <row r="231" spans="1:5">
      <c r="A231" s="1" t="s">
        <v>22</v>
      </c>
      <c r="B231" s="1" t="s">
        <v>25</v>
      </c>
      <c r="C231" s="2">
        <v>2021</v>
      </c>
      <c r="D231" s="2">
        <f>TouristNumber[[#This Row],[Year]]+543</f>
        <v>2564</v>
      </c>
      <c r="E231" s="2">
        <v>740</v>
      </c>
    </row>
    <row r="232" spans="1:5">
      <c r="A232" s="1" t="s">
        <v>22</v>
      </c>
      <c r="B232" s="1" t="s">
        <v>26</v>
      </c>
      <c r="C232" s="2">
        <v>2021</v>
      </c>
      <c r="D232" s="2">
        <f>TouristNumber[[#This Row],[Year]]+543</f>
        <v>2564</v>
      </c>
      <c r="E232" s="6">
        <v>1715</v>
      </c>
    </row>
    <row r="233" spans="1:5">
      <c r="A233" s="1" t="s">
        <v>22</v>
      </c>
      <c r="B233" s="1" t="s">
        <v>27</v>
      </c>
      <c r="C233" s="2">
        <v>2021</v>
      </c>
      <c r="D233" s="2">
        <f>TouristNumber[[#This Row],[Year]]+543</f>
        <v>2564</v>
      </c>
      <c r="E233" s="2">
        <v>825</v>
      </c>
    </row>
    <row r="234" spans="1:5">
      <c r="A234" s="1" t="s">
        <v>22</v>
      </c>
      <c r="B234" s="1" t="s">
        <v>28</v>
      </c>
      <c r="C234" s="2">
        <v>2021</v>
      </c>
      <c r="D234" s="2">
        <f>TouristNumber[[#This Row],[Year]]+543</f>
        <v>2564</v>
      </c>
      <c r="E234" s="6">
        <v>2078</v>
      </c>
    </row>
    <row r="235" spans="1:5">
      <c r="A235" s="1" t="s">
        <v>29</v>
      </c>
      <c r="B235" s="1" t="s">
        <v>30</v>
      </c>
      <c r="C235" s="2">
        <v>2021</v>
      </c>
      <c r="D235" s="2">
        <f>TouristNumber[[#This Row],[Year]]+543</f>
        <v>2564</v>
      </c>
      <c r="E235" s="6">
        <v>10920</v>
      </c>
    </row>
    <row r="236" spans="1:5">
      <c r="A236" s="1" t="s">
        <v>29</v>
      </c>
      <c r="B236" s="1" t="s">
        <v>31</v>
      </c>
      <c r="C236" s="2">
        <v>2021</v>
      </c>
      <c r="D236" s="2">
        <f>TouristNumber[[#This Row],[Year]]+543</f>
        <v>2564</v>
      </c>
      <c r="E236" s="6">
        <v>1160</v>
      </c>
    </row>
    <row r="237" spans="1:5">
      <c r="A237" s="1" t="s">
        <v>29</v>
      </c>
      <c r="B237" s="1" t="s">
        <v>32</v>
      </c>
      <c r="C237" s="2">
        <v>2021</v>
      </c>
      <c r="D237" s="2">
        <f>TouristNumber[[#This Row],[Year]]+543</f>
        <v>2564</v>
      </c>
      <c r="E237" s="2">
        <v>353</v>
      </c>
    </row>
    <row r="238" spans="1:5">
      <c r="A238" s="1" t="s">
        <v>33</v>
      </c>
      <c r="B238" s="1" t="s">
        <v>34</v>
      </c>
      <c r="C238" s="2">
        <v>2021</v>
      </c>
      <c r="D238" s="2">
        <f>TouristNumber[[#This Row],[Year]]+543</f>
        <v>2564</v>
      </c>
      <c r="E238" s="2">
        <v>595</v>
      </c>
    </row>
    <row r="239" spans="1:5">
      <c r="A239" s="1" t="s">
        <v>33</v>
      </c>
      <c r="B239" s="1" t="s">
        <v>35</v>
      </c>
      <c r="C239" s="2">
        <v>2021</v>
      </c>
      <c r="D239" s="2">
        <f>TouristNumber[[#This Row],[Year]]+543</f>
        <v>2564</v>
      </c>
      <c r="E239" s="6">
        <v>3757</v>
      </c>
    </row>
    <row r="240" spans="1:5">
      <c r="A240" s="1" t="s">
        <v>33</v>
      </c>
      <c r="B240" s="1" t="s">
        <v>36</v>
      </c>
      <c r="C240" s="2">
        <v>2021</v>
      </c>
      <c r="D240" s="2">
        <f>TouristNumber[[#This Row],[Year]]+543</f>
        <v>2564</v>
      </c>
      <c r="E240" s="2">
        <v>569</v>
      </c>
    </row>
    <row r="241" spans="1:5">
      <c r="A241" s="1" t="s">
        <v>33</v>
      </c>
      <c r="B241" s="1" t="s">
        <v>37</v>
      </c>
      <c r="C241" s="2">
        <v>2021</v>
      </c>
      <c r="D241" s="2">
        <f>TouristNumber[[#This Row],[Year]]+543</f>
        <v>2564</v>
      </c>
      <c r="E241" s="6">
        <v>4188</v>
      </c>
    </row>
    <row r="242" spans="1:5">
      <c r="A242" s="1" t="s">
        <v>33</v>
      </c>
      <c r="B242" s="1" t="s">
        <v>38</v>
      </c>
      <c r="C242" s="2">
        <v>2021</v>
      </c>
      <c r="D242" s="2">
        <f>TouristNumber[[#This Row],[Year]]+543</f>
        <v>2564</v>
      </c>
      <c r="E242" s="6">
        <v>7666</v>
      </c>
    </row>
    <row r="243" spans="1:5">
      <c r="A243" s="1" t="s">
        <v>39</v>
      </c>
      <c r="B243" s="1" t="s">
        <v>40</v>
      </c>
      <c r="C243" s="2">
        <v>2021</v>
      </c>
      <c r="D243" s="2">
        <f>TouristNumber[[#This Row],[Year]]+543</f>
        <v>2564</v>
      </c>
      <c r="E243" s="6">
        <v>9279</v>
      </c>
    </row>
    <row r="244" spans="1:5">
      <c r="A244" s="1" t="s">
        <v>39</v>
      </c>
      <c r="B244" s="1" t="s">
        <v>41</v>
      </c>
      <c r="C244" s="2">
        <v>2021</v>
      </c>
      <c r="D244" s="2">
        <f>TouristNumber[[#This Row],[Year]]+543</f>
        <v>2564</v>
      </c>
      <c r="E244" s="6">
        <v>6571</v>
      </c>
    </row>
    <row r="245" spans="1:5">
      <c r="A245" s="1" t="s">
        <v>39</v>
      </c>
      <c r="B245" s="1" t="s">
        <v>42</v>
      </c>
      <c r="C245" s="2">
        <v>2021</v>
      </c>
      <c r="D245" s="2">
        <f>TouristNumber[[#This Row],[Year]]+543</f>
        <v>2564</v>
      </c>
      <c r="E245" s="6">
        <v>6565</v>
      </c>
    </row>
    <row r="246" spans="1:5">
      <c r="A246" s="1" t="s">
        <v>39</v>
      </c>
      <c r="B246" s="1" t="s">
        <v>43</v>
      </c>
      <c r="C246" s="2">
        <v>2021</v>
      </c>
      <c r="D246" s="2">
        <f>TouristNumber[[#This Row],[Year]]+543</f>
        <v>2564</v>
      </c>
      <c r="E246" s="6">
        <v>18574</v>
      </c>
    </row>
    <row r="247" spans="1:5">
      <c r="A247" s="1" t="s">
        <v>39</v>
      </c>
      <c r="B247" s="1" t="s">
        <v>44</v>
      </c>
      <c r="C247" s="2">
        <v>2021</v>
      </c>
      <c r="D247" s="2">
        <f>TouristNumber[[#This Row],[Year]]+543</f>
        <v>2564</v>
      </c>
      <c r="E247" s="6">
        <v>42853</v>
      </c>
    </row>
    <row r="248" spans="1:5">
      <c r="A248" s="1" t="s">
        <v>45</v>
      </c>
      <c r="B248" s="1" t="s">
        <v>46</v>
      </c>
      <c r="C248" s="2">
        <v>2021</v>
      </c>
      <c r="D248" s="2">
        <f>TouristNumber[[#This Row],[Year]]+543</f>
        <v>2564</v>
      </c>
      <c r="E248" s="6">
        <v>6307</v>
      </c>
    </row>
    <row r="249" spans="1:5">
      <c r="A249" s="1" t="s">
        <v>45</v>
      </c>
      <c r="B249" s="1" t="s">
        <v>47</v>
      </c>
      <c r="C249" s="2">
        <v>2021</v>
      </c>
      <c r="D249" s="2">
        <f>TouristNumber[[#This Row],[Year]]+543</f>
        <v>2564</v>
      </c>
      <c r="E249" s="6">
        <v>6217</v>
      </c>
    </row>
    <row r="250" spans="1:5">
      <c r="A250" s="1" t="s">
        <v>45</v>
      </c>
      <c r="B250" s="1" t="s">
        <v>48</v>
      </c>
      <c r="C250" s="2">
        <v>2021</v>
      </c>
      <c r="D250" s="2">
        <f>TouristNumber[[#This Row],[Year]]+543</f>
        <v>2564</v>
      </c>
      <c r="E250" s="6">
        <v>27135</v>
      </c>
    </row>
    <row r="251" spans="1:5">
      <c r="A251" s="1" t="s">
        <v>45</v>
      </c>
      <c r="B251" s="1" t="s">
        <v>49</v>
      </c>
      <c r="C251" s="2">
        <v>2021</v>
      </c>
      <c r="D251" s="2">
        <f>TouristNumber[[#This Row],[Year]]+543</f>
        <v>2564</v>
      </c>
      <c r="E251" s="6">
        <v>50589</v>
      </c>
    </row>
    <row r="252" spans="1:5">
      <c r="A252" s="1" t="s">
        <v>45</v>
      </c>
      <c r="B252" s="1" t="s">
        <v>50</v>
      </c>
      <c r="C252" s="2">
        <v>2021</v>
      </c>
      <c r="D252" s="2">
        <f>TouristNumber[[#This Row],[Year]]+543</f>
        <v>2564</v>
      </c>
      <c r="E252" s="6">
        <v>9924</v>
      </c>
    </row>
    <row r="253" spans="1:5">
      <c r="A253" s="1" t="s">
        <v>45</v>
      </c>
      <c r="B253" s="1" t="s">
        <v>51</v>
      </c>
      <c r="C253" s="2">
        <v>2021</v>
      </c>
      <c r="D253" s="2">
        <f>TouristNumber[[#This Row],[Year]]+543</f>
        <v>2564</v>
      </c>
      <c r="E253" s="6">
        <v>13539</v>
      </c>
    </row>
    <row r="254" spans="1:5">
      <c r="A254" s="1" t="s">
        <v>52</v>
      </c>
      <c r="B254" s="1" t="s">
        <v>53</v>
      </c>
      <c r="C254" s="2">
        <v>2021</v>
      </c>
      <c r="D254" s="2">
        <f>TouristNumber[[#This Row],[Year]]+543</f>
        <v>2564</v>
      </c>
      <c r="E254" s="6">
        <v>31565</v>
      </c>
    </row>
    <row r="255" spans="1:5">
      <c r="A255" s="1" t="s">
        <v>33</v>
      </c>
      <c r="B255" s="1" t="s">
        <v>54</v>
      </c>
      <c r="C255" s="2">
        <v>2021</v>
      </c>
      <c r="D255" s="2">
        <f>TouristNumber[[#This Row],[Year]]+543</f>
        <v>2564</v>
      </c>
      <c r="E255" s="6">
        <v>14549</v>
      </c>
    </row>
    <row r="256" spans="1:5">
      <c r="A256" s="1" t="s">
        <v>55</v>
      </c>
      <c r="B256" s="1" t="s">
        <v>56</v>
      </c>
      <c r="C256" s="2">
        <v>2021</v>
      </c>
      <c r="D256" s="2">
        <f>TouristNumber[[#This Row],[Year]]+543</f>
        <v>2564</v>
      </c>
      <c r="E256" s="4">
        <v>6818</v>
      </c>
    </row>
    <row r="257" spans="1:5">
      <c r="A257" s="1" t="s">
        <v>55</v>
      </c>
      <c r="B257" s="1" t="s">
        <v>57</v>
      </c>
      <c r="C257" s="2">
        <v>2021</v>
      </c>
      <c r="D257" s="2">
        <f>TouristNumber[[#This Row],[Year]]+543</f>
        <v>2564</v>
      </c>
      <c r="E257" s="6">
        <v>4065</v>
      </c>
    </row>
    <row r="258" spans="1:5">
      <c r="A258" s="1" t="s">
        <v>58</v>
      </c>
      <c r="B258" s="1" t="s">
        <v>59</v>
      </c>
      <c r="C258" s="2">
        <v>2021</v>
      </c>
      <c r="D258" s="2">
        <f>TouristNumber[[#This Row],[Year]]+543</f>
        <v>2564</v>
      </c>
      <c r="E258" s="6">
        <v>28409</v>
      </c>
    </row>
    <row r="259" spans="1:5">
      <c r="A259" s="1" t="s">
        <v>58</v>
      </c>
      <c r="B259" s="1" t="s">
        <v>60</v>
      </c>
      <c r="C259" s="2">
        <v>2021</v>
      </c>
      <c r="D259" s="2">
        <f>TouristNumber[[#This Row],[Year]]+543</f>
        <v>2564</v>
      </c>
      <c r="E259" s="6">
        <v>9026</v>
      </c>
    </row>
    <row r="260" spans="1:5">
      <c r="A260" s="1" t="s">
        <v>61</v>
      </c>
      <c r="B260" s="1" t="s">
        <v>62</v>
      </c>
      <c r="C260" s="2">
        <v>2021</v>
      </c>
      <c r="D260" s="2">
        <f>TouristNumber[[#This Row],[Year]]+543</f>
        <v>2564</v>
      </c>
      <c r="E260" s="6">
        <v>7238</v>
      </c>
    </row>
    <row r="261" spans="1:5">
      <c r="A261" s="1" t="s">
        <v>61</v>
      </c>
      <c r="B261" s="1" t="s">
        <v>63</v>
      </c>
      <c r="C261" s="2">
        <v>2021</v>
      </c>
      <c r="D261" s="2">
        <f>TouristNumber[[#This Row],[Year]]+543</f>
        <v>2564</v>
      </c>
      <c r="E261" s="6">
        <v>43444</v>
      </c>
    </row>
    <row r="262" spans="1:5">
      <c r="A262" s="1" t="s">
        <v>61</v>
      </c>
      <c r="B262" s="1" t="s">
        <v>64</v>
      </c>
      <c r="C262" s="2">
        <v>2021</v>
      </c>
      <c r="D262" s="2">
        <f>TouristNumber[[#This Row],[Year]]+543</f>
        <v>2564</v>
      </c>
      <c r="E262" s="2">
        <v>344</v>
      </c>
    </row>
    <row r="263" spans="1:5">
      <c r="A263" s="1" t="s">
        <v>61</v>
      </c>
      <c r="B263" s="1" t="s">
        <v>65</v>
      </c>
      <c r="C263" s="2">
        <v>2021</v>
      </c>
      <c r="D263" s="2">
        <f>TouristNumber[[#This Row],[Year]]+543</f>
        <v>2564</v>
      </c>
      <c r="E263" s="6">
        <v>1671</v>
      </c>
    </row>
    <row r="264" spans="1:5">
      <c r="A264" s="1" t="s">
        <v>61</v>
      </c>
      <c r="B264" s="1" t="s">
        <v>66</v>
      </c>
      <c r="C264" s="2">
        <v>2021</v>
      </c>
      <c r="D264" s="2">
        <f>TouristNumber[[#This Row],[Year]]+543</f>
        <v>2564</v>
      </c>
      <c r="E264" s="6">
        <v>1483</v>
      </c>
    </row>
    <row r="265" spans="1:5">
      <c r="A265" s="1" t="s">
        <v>67</v>
      </c>
      <c r="B265" s="1" t="s">
        <v>68</v>
      </c>
      <c r="C265" s="2">
        <v>2021</v>
      </c>
      <c r="D265" s="2">
        <f>TouristNumber[[#This Row],[Year]]+543</f>
        <v>2564</v>
      </c>
      <c r="E265" s="6">
        <v>1164</v>
      </c>
    </row>
    <row r="266" spans="1:5">
      <c r="A266" s="1" t="s">
        <v>67</v>
      </c>
      <c r="B266" s="1" t="s">
        <v>69</v>
      </c>
      <c r="C266" s="2">
        <v>2021</v>
      </c>
      <c r="D266" s="2">
        <f>TouristNumber[[#This Row],[Year]]+543</f>
        <v>2564</v>
      </c>
      <c r="E266" s="6">
        <v>2605</v>
      </c>
    </row>
    <row r="267" spans="1:5">
      <c r="A267" s="1" t="s">
        <v>5</v>
      </c>
      <c r="B267" s="1" t="s">
        <v>6</v>
      </c>
      <c r="C267" s="2">
        <v>2022</v>
      </c>
      <c r="D267" s="2">
        <f>TouristNumber[[#This Row],[Year]]+543</f>
        <v>2565</v>
      </c>
      <c r="E267" s="6">
        <v>5796</v>
      </c>
    </row>
    <row r="268" spans="1:5">
      <c r="A268" s="1" t="s">
        <v>5</v>
      </c>
      <c r="B268" s="1" t="s">
        <v>7</v>
      </c>
      <c r="C268" s="2">
        <v>2022</v>
      </c>
      <c r="D268" s="2">
        <f>TouristNumber[[#This Row],[Year]]+543</f>
        <v>2565</v>
      </c>
      <c r="E268" s="6">
        <v>466917</v>
      </c>
    </row>
    <row r="269" spans="1:5">
      <c r="A269" s="1" t="s">
        <v>5</v>
      </c>
      <c r="B269" s="1" t="s">
        <v>8</v>
      </c>
      <c r="C269" s="2">
        <v>2022</v>
      </c>
      <c r="D269" s="2">
        <f>TouristNumber[[#This Row],[Year]]+543</f>
        <v>2565</v>
      </c>
      <c r="E269" s="6">
        <v>230337</v>
      </c>
    </row>
    <row r="270" spans="1:5">
      <c r="A270" s="1" t="s">
        <v>5</v>
      </c>
      <c r="B270" s="1" t="s">
        <v>9</v>
      </c>
      <c r="C270" s="2">
        <v>2022</v>
      </c>
      <c r="D270" s="2">
        <f>TouristNumber[[#This Row],[Year]]+543</f>
        <v>2565</v>
      </c>
      <c r="E270" s="6">
        <v>486382</v>
      </c>
    </row>
    <row r="271" spans="1:5">
      <c r="A271" s="1" t="s">
        <v>5</v>
      </c>
      <c r="B271" s="1" t="s">
        <v>10</v>
      </c>
      <c r="C271" s="2">
        <v>2022</v>
      </c>
      <c r="D271" s="2">
        <f>TouristNumber[[#This Row],[Year]]+543</f>
        <v>2565</v>
      </c>
      <c r="E271" s="6">
        <v>1950062</v>
      </c>
    </row>
    <row r="272" spans="1:5">
      <c r="A272" s="1" t="s">
        <v>5</v>
      </c>
      <c r="B272" s="1" t="s">
        <v>11</v>
      </c>
      <c r="C272" s="2">
        <v>2022</v>
      </c>
      <c r="D272" s="2">
        <f>TouristNumber[[#This Row],[Year]]+543</f>
        <v>2565</v>
      </c>
      <c r="E272" s="6">
        <v>208014</v>
      </c>
    </row>
    <row r="273" spans="1:7">
      <c r="A273" s="1" t="s">
        <v>5</v>
      </c>
      <c r="B273" s="1" t="s">
        <v>12</v>
      </c>
      <c r="C273" s="2">
        <v>2022</v>
      </c>
      <c r="D273" s="2">
        <f>TouristNumber[[#This Row],[Year]]+543</f>
        <v>2565</v>
      </c>
      <c r="E273" s="6">
        <v>169382</v>
      </c>
    </row>
    <row r="274" spans="1:7">
      <c r="A274" s="1" t="s">
        <v>5</v>
      </c>
      <c r="B274" s="1" t="s">
        <v>13</v>
      </c>
      <c r="C274" s="2">
        <v>2022</v>
      </c>
      <c r="D274" s="2">
        <f>TouristNumber[[#This Row],[Year]]+543</f>
        <v>2565</v>
      </c>
      <c r="E274" s="6">
        <v>610828</v>
      </c>
    </row>
    <row r="275" spans="1:7">
      <c r="A275" s="1" t="s">
        <v>5</v>
      </c>
      <c r="B275" s="1" t="s">
        <v>14</v>
      </c>
      <c r="C275" s="2">
        <v>2022</v>
      </c>
      <c r="D275" s="2">
        <f>TouristNumber[[#This Row],[Year]]+543</f>
        <v>2565</v>
      </c>
      <c r="E275" s="6">
        <v>458183</v>
      </c>
    </row>
    <row r="276" spans="1:7">
      <c r="A276" s="1" t="s">
        <v>15</v>
      </c>
      <c r="B276" s="1" t="s">
        <v>16</v>
      </c>
      <c r="C276" s="2">
        <v>2022</v>
      </c>
      <c r="D276" s="2">
        <f>TouristNumber[[#This Row],[Year]]+543</f>
        <v>2565</v>
      </c>
      <c r="E276" s="6">
        <v>258662</v>
      </c>
    </row>
    <row r="277" spans="1:7">
      <c r="A277" s="1" t="s">
        <v>15</v>
      </c>
      <c r="B277" s="1" t="s">
        <v>17</v>
      </c>
      <c r="C277" s="2">
        <v>2022</v>
      </c>
      <c r="D277" s="2">
        <f>TouristNumber[[#This Row],[Year]]+543</f>
        <v>2565</v>
      </c>
      <c r="E277" s="6">
        <v>158987</v>
      </c>
    </row>
    <row r="278" spans="1:7">
      <c r="A278" s="1" t="s">
        <v>15</v>
      </c>
      <c r="B278" s="1" t="s">
        <v>18</v>
      </c>
      <c r="C278" s="2">
        <v>2022</v>
      </c>
      <c r="D278" s="2">
        <f>TouristNumber[[#This Row],[Year]]+543</f>
        <v>2565</v>
      </c>
      <c r="E278" s="6">
        <v>287955</v>
      </c>
    </row>
    <row r="279" spans="1:7">
      <c r="A279" s="1" t="s">
        <v>15</v>
      </c>
      <c r="B279" s="1" t="s">
        <v>19</v>
      </c>
      <c r="C279" s="2">
        <v>2022</v>
      </c>
      <c r="D279" s="2">
        <f>TouristNumber[[#This Row],[Year]]+543</f>
        <v>2565</v>
      </c>
      <c r="E279" s="6">
        <v>535122</v>
      </c>
    </row>
    <row r="280" spans="1:7">
      <c r="A280" s="1" t="s">
        <v>15</v>
      </c>
      <c r="B280" s="1" t="s">
        <v>20</v>
      </c>
      <c r="C280" s="2">
        <v>2022</v>
      </c>
      <c r="D280" s="2">
        <f>TouristNumber[[#This Row],[Year]]+543</f>
        <v>2565</v>
      </c>
      <c r="E280" s="6">
        <v>90149</v>
      </c>
    </row>
    <row r="281" spans="1:7">
      <c r="A281" s="1" t="s">
        <v>15</v>
      </c>
      <c r="B281" s="1" t="s">
        <v>21</v>
      </c>
      <c r="C281" s="2">
        <v>2022</v>
      </c>
      <c r="D281" s="2">
        <f>TouristNumber[[#This Row],[Year]]+543</f>
        <v>2565</v>
      </c>
      <c r="E281" s="6">
        <v>12480</v>
      </c>
    </row>
    <row r="282" spans="1:7">
      <c r="A282" s="1" t="s">
        <v>22</v>
      </c>
      <c r="B282" s="1" t="s">
        <v>23</v>
      </c>
      <c r="C282" s="2">
        <v>2022</v>
      </c>
      <c r="D282" s="2">
        <f>TouristNumber[[#This Row],[Year]]+543</f>
        <v>2565</v>
      </c>
      <c r="E282" s="6">
        <v>78866</v>
      </c>
    </row>
    <row r="283" spans="1:7">
      <c r="A283" s="1" t="s">
        <v>22</v>
      </c>
      <c r="B283" s="1" t="s">
        <v>24</v>
      </c>
      <c r="C283" s="2">
        <v>2022</v>
      </c>
      <c r="D283" s="2">
        <f>TouristNumber[[#This Row],[Year]]+543</f>
        <v>2565</v>
      </c>
      <c r="E283" s="6">
        <v>981995</v>
      </c>
    </row>
    <row r="284" spans="1:7">
      <c r="A284" s="1" t="s">
        <v>22</v>
      </c>
      <c r="B284" s="1" t="s">
        <v>25</v>
      </c>
      <c r="C284" s="2">
        <v>2022</v>
      </c>
      <c r="D284" s="2">
        <f>TouristNumber[[#This Row],[Year]]+543</f>
        <v>2565</v>
      </c>
      <c r="E284" s="6">
        <v>12918</v>
      </c>
    </row>
    <row r="285" spans="1:7">
      <c r="A285" s="1" t="s">
        <v>22</v>
      </c>
      <c r="B285" s="1" t="s">
        <v>26</v>
      </c>
      <c r="C285" s="2">
        <v>2022</v>
      </c>
      <c r="D285" s="2">
        <f>TouristNumber[[#This Row],[Year]]+543</f>
        <v>2565</v>
      </c>
      <c r="E285" s="6">
        <v>48357</v>
      </c>
      <c r="G285" s="8"/>
    </row>
    <row r="286" spans="1:7">
      <c r="A286" s="1" t="s">
        <v>22</v>
      </c>
      <c r="B286" s="1" t="s">
        <v>27</v>
      </c>
      <c r="C286" s="2">
        <v>2022</v>
      </c>
      <c r="D286" s="2">
        <f>TouristNumber[[#This Row],[Year]]+543</f>
        <v>2565</v>
      </c>
      <c r="E286" s="6">
        <v>13149</v>
      </c>
    </row>
    <row r="287" spans="1:7">
      <c r="A287" s="1" t="s">
        <v>22</v>
      </c>
      <c r="B287" s="1" t="s">
        <v>28</v>
      </c>
      <c r="C287" s="2">
        <v>2022</v>
      </c>
      <c r="D287" s="2">
        <f>TouristNumber[[#This Row],[Year]]+543</f>
        <v>2565</v>
      </c>
      <c r="E287" s="6">
        <v>26019</v>
      </c>
    </row>
    <row r="288" spans="1:7">
      <c r="A288" s="1" t="s">
        <v>29</v>
      </c>
      <c r="B288" s="1" t="s">
        <v>30</v>
      </c>
      <c r="C288" s="2">
        <v>2022</v>
      </c>
      <c r="D288" s="2">
        <f>TouristNumber[[#This Row],[Year]]+543</f>
        <v>2565</v>
      </c>
      <c r="E288" s="6">
        <v>331484</v>
      </c>
    </row>
    <row r="289" spans="1:5">
      <c r="A289" s="1" t="s">
        <v>29</v>
      </c>
      <c r="B289" s="1" t="s">
        <v>31</v>
      </c>
      <c r="C289" s="2">
        <v>2022</v>
      </c>
      <c r="D289" s="2">
        <f>TouristNumber[[#This Row],[Year]]+543</f>
        <v>2565</v>
      </c>
      <c r="E289" s="6">
        <v>34672</v>
      </c>
    </row>
    <row r="290" spans="1:5">
      <c r="A290" s="1" t="s">
        <v>29</v>
      </c>
      <c r="B290" s="1" t="s">
        <v>32</v>
      </c>
      <c r="C290" s="2">
        <v>2022</v>
      </c>
      <c r="D290" s="2">
        <f>TouristNumber[[#This Row],[Year]]+543</f>
        <v>2565</v>
      </c>
      <c r="E290" s="6">
        <v>2542</v>
      </c>
    </row>
    <row r="291" spans="1:5">
      <c r="A291" s="1" t="s">
        <v>33</v>
      </c>
      <c r="B291" s="1" t="s">
        <v>34</v>
      </c>
      <c r="C291" s="2">
        <v>2022</v>
      </c>
      <c r="D291" s="2">
        <f>TouristNumber[[#This Row],[Year]]+543</f>
        <v>2565</v>
      </c>
      <c r="E291" s="6">
        <v>9629</v>
      </c>
    </row>
    <row r="292" spans="1:5">
      <c r="A292" s="1" t="s">
        <v>33</v>
      </c>
      <c r="B292" s="1" t="s">
        <v>35</v>
      </c>
      <c r="C292" s="2">
        <v>2022</v>
      </c>
      <c r="D292" s="2">
        <f>TouristNumber[[#This Row],[Year]]+543</f>
        <v>2565</v>
      </c>
      <c r="E292" s="6">
        <v>44698</v>
      </c>
    </row>
    <row r="293" spans="1:5">
      <c r="A293" s="1" t="s">
        <v>33</v>
      </c>
      <c r="B293" s="1" t="s">
        <v>36</v>
      </c>
      <c r="C293" s="2">
        <v>2022</v>
      </c>
      <c r="D293" s="2">
        <f>TouristNumber[[#This Row],[Year]]+543</f>
        <v>2565</v>
      </c>
      <c r="E293" s="6">
        <v>94676</v>
      </c>
    </row>
    <row r="294" spans="1:5">
      <c r="A294" s="1" t="s">
        <v>33</v>
      </c>
      <c r="B294" s="1" t="s">
        <v>37</v>
      </c>
      <c r="C294" s="2">
        <v>2022</v>
      </c>
      <c r="D294" s="2">
        <f>TouristNumber[[#This Row],[Year]]+543</f>
        <v>2565</v>
      </c>
      <c r="E294" s="6">
        <v>66003</v>
      </c>
    </row>
    <row r="295" spans="1:5">
      <c r="A295" s="1" t="s">
        <v>33</v>
      </c>
      <c r="B295" s="1" t="s">
        <v>38</v>
      </c>
      <c r="C295" s="2">
        <v>2022</v>
      </c>
      <c r="D295" s="2">
        <f>TouristNumber[[#This Row],[Year]]+543</f>
        <v>2565</v>
      </c>
      <c r="E295" s="6">
        <v>106031</v>
      </c>
    </row>
    <row r="296" spans="1:5">
      <c r="A296" s="1" t="s">
        <v>39</v>
      </c>
      <c r="B296" s="1" t="s">
        <v>40</v>
      </c>
      <c r="C296" s="2">
        <v>2022</v>
      </c>
      <c r="D296" s="2">
        <f>TouristNumber[[#This Row],[Year]]+543</f>
        <v>2565</v>
      </c>
      <c r="E296" s="6">
        <v>63001</v>
      </c>
    </row>
    <row r="297" spans="1:5">
      <c r="A297" s="1" t="s">
        <v>39</v>
      </c>
      <c r="B297" s="1" t="s">
        <v>41</v>
      </c>
      <c r="C297" s="2">
        <v>2022</v>
      </c>
      <c r="D297" s="2">
        <f>TouristNumber[[#This Row],[Year]]+543</f>
        <v>2565</v>
      </c>
      <c r="E297" s="6">
        <v>37923</v>
      </c>
    </row>
    <row r="298" spans="1:5">
      <c r="A298" s="1" t="s">
        <v>39</v>
      </c>
      <c r="B298" s="1" t="s">
        <v>42</v>
      </c>
      <c r="C298" s="2">
        <v>2022</v>
      </c>
      <c r="D298" s="2">
        <f>TouristNumber[[#This Row],[Year]]+543</f>
        <v>2565</v>
      </c>
      <c r="E298" s="6">
        <v>45473</v>
      </c>
    </row>
    <row r="299" spans="1:5">
      <c r="A299" s="1" t="s">
        <v>39</v>
      </c>
      <c r="B299" s="1" t="s">
        <v>43</v>
      </c>
      <c r="C299" s="2">
        <v>2022</v>
      </c>
      <c r="D299" s="2">
        <f>TouristNumber[[#This Row],[Year]]+543</f>
        <v>2565</v>
      </c>
      <c r="E299" s="6">
        <v>94055</v>
      </c>
    </row>
    <row r="300" spans="1:5">
      <c r="A300" s="1" t="s">
        <v>39</v>
      </c>
      <c r="B300" s="1" t="s">
        <v>44</v>
      </c>
      <c r="C300" s="2">
        <v>2022</v>
      </c>
      <c r="D300" s="2">
        <f>TouristNumber[[#This Row],[Year]]+543</f>
        <v>2565</v>
      </c>
      <c r="E300" s="6">
        <v>432245</v>
      </c>
    </row>
    <row r="301" spans="1:5">
      <c r="A301" s="1" t="s">
        <v>45</v>
      </c>
      <c r="B301" s="1" t="s">
        <v>46</v>
      </c>
      <c r="C301" s="2">
        <v>2022</v>
      </c>
      <c r="D301" s="2">
        <f>TouristNumber[[#This Row],[Year]]+543</f>
        <v>2565</v>
      </c>
      <c r="E301" s="6">
        <v>41642</v>
      </c>
    </row>
    <row r="302" spans="1:5">
      <c r="A302" s="1" t="s">
        <v>45</v>
      </c>
      <c r="B302" s="1" t="s">
        <v>47</v>
      </c>
      <c r="C302" s="2">
        <v>2022</v>
      </c>
      <c r="D302" s="2">
        <f>TouristNumber[[#This Row],[Year]]+543</f>
        <v>2565</v>
      </c>
      <c r="E302" s="6">
        <v>46942</v>
      </c>
    </row>
    <row r="303" spans="1:5">
      <c r="A303" s="1" t="s">
        <v>45</v>
      </c>
      <c r="B303" s="1" t="s">
        <v>48</v>
      </c>
      <c r="C303" s="2">
        <v>2022</v>
      </c>
      <c r="D303" s="2">
        <f>TouristNumber[[#This Row],[Year]]+543</f>
        <v>2565</v>
      </c>
      <c r="E303" s="6">
        <v>260283</v>
      </c>
    </row>
    <row r="304" spans="1:5">
      <c r="A304" s="1" t="s">
        <v>45</v>
      </c>
      <c r="B304" s="1" t="s">
        <v>49</v>
      </c>
      <c r="C304" s="2">
        <v>2022</v>
      </c>
      <c r="D304" s="2">
        <f>TouristNumber[[#This Row],[Year]]+543</f>
        <v>2565</v>
      </c>
      <c r="E304" s="6">
        <v>356667</v>
      </c>
    </row>
    <row r="305" spans="1:5">
      <c r="A305" s="1" t="s">
        <v>45</v>
      </c>
      <c r="B305" s="1" t="s">
        <v>50</v>
      </c>
      <c r="C305" s="2">
        <v>2022</v>
      </c>
      <c r="D305" s="2">
        <f>TouristNumber[[#This Row],[Year]]+543</f>
        <v>2565</v>
      </c>
      <c r="E305" s="6">
        <v>113311</v>
      </c>
    </row>
    <row r="306" spans="1:5">
      <c r="A306" s="1" t="s">
        <v>45</v>
      </c>
      <c r="B306" s="1" t="s">
        <v>51</v>
      </c>
      <c r="C306" s="2">
        <v>2022</v>
      </c>
      <c r="D306" s="2">
        <f>TouristNumber[[#This Row],[Year]]+543</f>
        <v>2565</v>
      </c>
      <c r="E306" s="6">
        <v>79586</v>
      </c>
    </row>
    <row r="307" spans="1:5">
      <c r="A307" s="1" t="s">
        <v>52</v>
      </c>
      <c r="B307" s="1" t="s">
        <v>53</v>
      </c>
      <c r="C307" s="2">
        <v>2022</v>
      </c>
      <c r="D307" s="2">
        <f>TouristNumber[[#This Row],[Year]]+543</f>
        <v>2565</v>
      </c>
      <c r="E307" s="6">
        <v>427037</v>
      </c>
    </row>
    <row r="308" spans="1:5">
      <c r="A308" s="1" t="s">
        <v>33</v>
      </c>
      <c r="B308" s="1" t="s">
        <v>54</v>
      </c>
      <c r="C308" s="2">
        <v>2022</v>
      </c>
      <c r="D308" s="2">
        <f>TouristNumber[[#This Row],[Year]]+543</f>
        <v>2565</v>
      </c>
      <c r="E308" s="6">
        <v>145490</v>
      </c>
    </row>
    <row r="309" spans="1:5">
      <c r="A309" s="1" t="s">
        <v>55</v>
      </c>
      <c r="B309" s="1" t="s">
        <v>56</v>
      </c>
      <c r="C309" s="2">
        <v>2022</v>
      </c>
      <c r="D309" s="2">
        <f>TouristNumber[[#This Row],[Year]]+543</f>
        <v>2565</v>
      </c>
      <c r="E309" s="4">
        <v>82701</v>
      </c>
    </row>
    <row r="310" spans="1:5">
      <c r="A310" s="1" t="s">
        <v>55</v>
      </c>
      <c r="B310" s="1" t="s">
        <v>57</v>
      </c>
      <c r="C310" s="2">
        <v>2022</v>
      </c>
      <c r="D310" s="2">
        <f>TouristNumber[[#This Row],[Year]]+543</f>
        <v>2565</v>
      </c>
      <c r="E310" s="6">
        <v>86077</v>
      </c>
    </row>
    <row r="311" spans="1:5">
      <c r="A311" s="1" t="s">
        <v>58</v>
      </c>
      <c r="B311" s="1" t="s">
        <v>59</v>
      </c>
      <c r="C311" s="2">
        <v>2022</v>
      </c>
      <c r="D311" s="2">
        <f>TouristNumber[[#This Row],[Year]]+543</f>
        <v>2565</v>
      </c>
      <c r="E311" s="6">
        <v>222106</v>
      </c>
    </row>
    <row r="312" spans="1:5">
      <c r="A312" s="1" t="s">
        <v>58</v>
      </c>
      <c r="B312" s="1" t="s">
        <v>60</v>
      </c>
      <c r="C312" s="2">
        <v>2022</v>
      </c>
      <c r="D312" s="2">
        <f>TouristNumber[[#This Row],[Year]]+543</f>
        <v>2565</v>
      </c>
      <c r="E312" s="6">
        <v>100628</v>
      </c>
    </row>
    <row r="313" spans="1:5">
      <c r="A313" s="1" t="s">
        <v>61</v>
      </c>
      <c r="B313" s="1" t="s">
        <v>62</v>
      </c>
      <c r="C313" s="2">
        <v>2022</v>
      </c>
      <c r="D313" s="2">
        <f>TouristNumber[[#This Row],[Year]]+543</f>
        <v>2565</v>
      </c>
      <c r="E313" s="6">
        <v>87170</v>
      </c>
    </row>
    <row r="314" spans="1:5">
      <c r="A314" s="1" t="s">
        <v>61</v>
      </c>
      <c r="B314" s="1" t="s">
        <v>63</v>
      </c>
      <c r="C314" s="2">
        <v>2022</v>
      </c>
      <c r="D314" s="2">
        <f>TouristNumber[[#This Row],[Year]]+543</f>
        <v>2565</v>
      </c>
      <c r="E314" s="6">
        <v>438011</v>
      </c>
    </row>
    <row r="315" spans="1:5">
      <c r="A315" s="1" t="s">
        <v>61</v>
      </c>
      <c r="B315" s="1" t="s">
        <v>64</v>
      </c>
      <c r="C315" s="2">
        <v>2022</v>
      </c>
      <c r="D315" s="2">
        <f>TouristNumber[[#This Row],[Year]]+543</f>
        <v>2565</v>
      </c>
      <c r="E315" s="6">
        <v>7549</v>
      </c>
    </row>
    <row r="316" spans="1:5">
      <c r="A316" s="1" t="s">
        <v>61</v>
      </c>
      <c r="B316" s="1" t="s">
        <v>65</v>
      </c>
      <c r="C316" s="2">
        <v>2022</v>
      </c>
      <c r="D316" s="2">
        <f>TouristNumber[[#This Row],[Year]]+543</f>
        <v>2565</v>
      </c>
      <c r="E316" s="6">
        <v>24598</v>
      </c>
    </row>
    <row r="317" spans="1:5">
      <c r="A317" s="1" t="s">
        <v>61</v>
      </c>
      <c r="B317" s="1" t="s">
        <v>66</v>
      </c>
      <c r="C317" s="2">
        <v>2022</v>
      </c>
      <c r="D317" s="2">
        <f>TouristNumber[[#This Row],[Year]]+543</f>
        <v>2565</v>
      </c>
      <c r="E317" s="6">
        <v>28720</v>
      </c>
    </row>
    <row r="318" spans="1:5">
      <c r="A318" s="1" t="s">
        <v>67</v>
      </c>
      <c r="B318" s="1" t="s">
        <v>68</v>
      </c>
      <c r="C318" s="2">
        <v>2022</v>
      </c>
      <c r="D318" s="2">
        <f>TouristNumber[[#This Row],[Year]]+543</f>
        <v>2565</v>
      </c>
      <c r="E318" s="6">
        <v>32071</v>
      </c>
    </row>
    <row r="319" spans="1:5">
      <c r="A319" s="1" t="s">
        <v>67</v>
      </c>
      <c r="B319" s="1" t="s">
        <v>69</v>
      </c>
      <c r="C319" s="2">
        <v>2022</v>
      </c>
      <c r="D319" s="2">
        <f>TouristNumber[[#This Row],[Year]]+543</f>
        <v>2565</v>
      </c>
      <c r="E319" s="6">
        <v>31645</v>
      </c>
    </row>
    <row r="320" spans="1:5">
      <c r="A320" s="1" t="s">
        <v>5</v>
      </c>
      <c r="B320" s="1" t="s">
        <v>6</v>
      </c>
      <c r="C320" s="2">
        <v>2023</v>
      </c>
      <c r="D320" s="2">
        <f>TouristNumber[[#This Row],[Year]]+543</f>
        <v>2566</v>
      </c>
      <c r="E320" s="6">
        <v>14134</v>
      </c>
    </row>
    <row r="321" spans="1:5">
      <c r="A321" s="1" t="s">
        <v>5</v>
      </c>
      <c r="B321" s="1" t="s">
        <v>7</v>
      </c>
      <c r="C321" s="2">
        <v>2023</v>
      </c>
      <c r="D321" s="2">
        <f>TouristNumber[[#This Row],[Year]]+543</f>
        <v>2566</v>
      </c>
      <c r="E321" s="6">
        <v>583708</v>
      </c>
    </row>
    <row r="322" spans="1:5">
      <c r="A322" s="1" t="s">
        <v>5</v>
      </c>
      <c r="B322" s="1" t="s">
        <v>8</v>
      </c>
      <c r="C322" s="2">
        <v>2023</v>
      </c>
      <c r="D322" s="2">
        <f>TouristNumber[[#This Row],[Year]]+543</f>
        <v>2566</v>
      </c>
      <c r="E322" s="6">
        <v>762118</v>
      </c>
    </row>
    <row r="323" spans="1:5">
      <c r="A323" s="1" t="s">
        <v>5</v>
      </c>
      <c r="B323" s="1" t="s">
        <v>9</v>
      </c>
      <c r="C323" s="2">
        <v>2023</v>
      </c>
      <c r="D323" s="2">
        <f>TouristNumber[[#This Row],[Year]]+543</f>
        <v>2566</v>
      </c>
      <c r="E323" s="6">
        <v>919401</v>
      </c>
    </row>
    <row r="324" spans="1:5">
      <c r="A324" s="1" t="s">
        <v>5</v>
      </c>
      <c r="B324" s="1" t="s">
        <v>10</v>
      </c>
      <c r="C324" s="2">
        <v>2023</v>
      </c>
      <c r="D324" s="2">
        <f>TouristNumber[[#This Row],[Year]]+543</f>
        <v>2566</v>
      </c>
      <c r="E324" s="6">
        <v>4626422</v>
      </c>
    </row>
    <row r="325" spans="1:5">
      <c r="A325" s="1" t="s">
        <v>5</v>
      </c>
      <c r="B325" s="1" t="s">
        <v>11</v>
      </c>
      <c r="C325" s="2">
        <v>2023</v>
      </c>
      <c r="D325" s="2">
        <f>TouristNumber[[#This Row],[Year]]+543</f>
        <v>2566</v>
      </c>
      <c r="E325" s="6">
        <v>394134</v>
      </c>
    </row>
    <row r="326" spans="1:5">
      <c r="A326" s="1" t="s">
        <v>5</v>
      </c>
      <c r="B326" s="1" t="s">
        <v>12</v>
      </c>
      <c r="C326" s="2">
        <v>2023</v>
      </c>
      <c r="D326" s="2">
        <f>TouristNumber[[#This Row],[Year]]+543</f>
        <v>2566</v>
      </c>
      <c r="E326" s="6">
        <v>461251</v>
      </c>
    </row>
    <row r="327" spans="1:5">
      <c r="A327" s="1" t="s">
        <v>5</v>
      </c>
      <c r="B327" s="1" t="s">
        <v>13</v>
      </c>
      <c r="C327" s="2">
        <v>2023</v>
      </c>
      <c r="D327" s="2">
        <f>TouristNumber[[#This Row],[Year]]+543</f>
        <v>2566</v>
      </c>
      <c r="E327" s="6">
        <v>1027424</v>
      </c>
    </row>
    <row r="328" spans="1:5">
      <c r="A328" s="1" t="s">
        <v>5</v>
      </c>
      <c r="B328" s="1" t="s">
        <v>14</v>
      </c>
      <c r="C328" s="2">
        <v>2023</v>
      </c>
      <c r="D328" s="2">
        <f>TouristNumber[[#This Row],[Year]]+543</f>
        <v>2566</v>
      </c>
      <c r="E328" s="6">
        <v>1033688</v>
      </c>
    </row>
    <row r="329" spans="1:5">
      <c r="A329" s="1" t="s">
        <v>15</v>
      </c>
      <c r="B329" s="1" t="s">
        <v>16</v>
      </c>
      <c r="C329" s="2">
        <v>2023</v>
      </c>
      <c r="D329" s="2">
        <f>TouristNumber[[#This Row],[Year]]+543</f>
        <v>2566</v>
      </c>
      <c r="E329" s="6">
        <v>3521095</v>
      </c>
    </row>
    <row r="330" spans="1:5">
      <c r="A330" s="1" t="s">
        <v>15</v>
      </c>
      <c r="B330" s="1" t="s">
        <v>17</v>
      </c>
      <c r="C330" s="2">
        <v>2023</v>
      </c>
      <c r="D330" s="2">
        <f>TouristNumber[[#This Row],[Year]]+543</f>
        <v>2566</v>
      </c>
      <c r="E330" s="6">
        <v>802368</v>
      </c>
    </row>
    <row r="331" spans="1:5">
      <c r="A331" s="1" t="s">
        <v>15</v>
      </c>
      <c r="B331" s="1" t="s">
        <v>18</v>
      </c>
      <c r="C331" s="2">
        <v>2023</v>
      </c>
      <c r="D331" s="2">
        <f>TouristNumber[[#This Row],[Year]]+543</f>
        <v>2566</v>
      </c>
      <c r="E331" s="6">
        <v>805768</v>
      </c>
    </row>
    <row r="332" spans="1:5">
      <c r="A332" s="1" t="s">
        <v>15</v>
      </c>
      <c r="B332" s="1" t="s">
        <v>70</v>
      </c>
      <c r="C332" s="2">
        <v>2023</v>
      </c>
      <c r="D332" s="2">
        <f>TouristNumber[[#This Row],[Year]]+543</f>
        <v>2566</v>
      </c>
      <c r="E332" s="9">
        <v>5</v>
      </c>
    </row>
    <row r="333" spans="1:5">
      <c r="A333" s="1" t="s">
        <v>15</v>
      </c>
      <c r="B333" s="1" t="s">
        <v>19</v>
      </c>
      <c r="C333" s="2">
        <v>2023</v>
      </c>
      <c r="D333" s="2">
        <f>TouristNumber[[#This Row],[Year]]+543</f>
        <v>2566</v>
      </c>
      <c r="E333" s="6">
        <v>1660042</v>
      </c>
    </row>
    <row r="334" spans="1:5">
      <c r="A334" s="1" t="s">
        <v>15</v>
      </c>
      <c r="B334" s="1" t="s">
        <v>71</v>
      </c>
      <c r="C334" s="2">
        <v>2023</v>
      </c>
      <c r="D334" s="2">
        <f>TouristNumber[[#This Row],[Year]]+543</f>
        <v>2566</v>
      </c>
      <c r="E334" s="10">
        <v>40892</v>
      </c>
    </row>
    <row r="335" spans="1:5">
      <c r="A335" s="1" t="s">
        <v>15</v>
      </c>
      <c r="B335" s="1" t="s">
        <v>72</v>
      </c>
      <c r="C335" s="2">
        <v>2023</v>
      </c>
      <c r="D335" s="2">
        <f>TouristNumber[[#This Row],[Year]]+543</f>
        <v>2566</v>
      </c>
      <c r="E335" s="10">
        <v>22886</v>
      </c>
    </row>
    <row r="336" spans="1:5">
      <c r="A336" s="1" t="s">
        <v>15</v>
      </c>
      <c r="B336" s="1" t="s">
        <v>20</v>
      </c>
      <c r="C336" s="2">
        <v>2023</v>
      </c>
      <c r="D336" s="2">
        <f>TouristNumber[[#This Row],[Year]]+543</f>
        <v>2566</v>
      </c>
      <c r="E336" s="6">
        <v>724594</v>
      </c>
    </row>
    <row r="337" spans="1:5">
      <c r="A337" s="1" t="s">
        <v>22</v>
      </c>
      <c r="B337" s="1" t="s">
        <v>23</v>
      </c>
      <c r="C337" s="2">
        <v>2023</v>
      </c>
      <c r="D337" s="2">
        <f>TouristNumber[[#This Row],[Year]]+543</f>
        <v>2566</v>
      </c>
      <c r="E337" s="6">
        <v>140657</v>
      </c>
    </row>
    <row r="338" spans="1:5">
      <c r="A338" s="1" t="s">
        <v>22</v>
      </c>
      <c r="B338" s="1" t="s">
        <v>73</v>
      </c>
      <c r="C338" s="2">
        <v>2023</v>
      </c>
      <c r="D338" s="2">
        <f>TouristNumber[[#This Row],[Year]]+543</f>
        <v>2566</v>
      </c>
      <c r="E338" s="10">
        <v>20356</v>
      </c>
    </row>
    <row r="339" spans="1:5">
      <c r="A339" s="1" t="s">
        <v>22</v>
      </c>
      <c r="B339" s="1" t="s">
        <v>24</v>
      </c>
      <c r="C339" s="2">
        <v>2023</v>
      </c>
      <c r="D339" s="2">
        <f>TouristNumber[[#This Row],[Year]]+543</f>
        <v>2566</v>
      </c>
      <c r="E339" s="6">
        <v>1628542</v>
      </c>
    </row>
    <row r="340" spans="1:5">
      <c r="A340" s="1" t="s">
        <v>22</v>
      </c>
      <c r="B340" s="1" t="s">
        <v>74</v>
      </c>
      <c r="C340" s="2">
        <v>2023</v>
      </c>
      <c r="D340" s="2">
        <f>TouristNumber[[#This Row],[Year]]+543</f>
        <v>2566</v>
      </c>
      <c r="E340" s="10">
        <v>51576</v>
      </c>
    </row>
    <row r="341" spans="1:5">
      <c r="A341" s="1" t="s">
        <v>22</v>
      </c>
      <c r="B341" s="1" t="s">
        <v>75</v>
      </c>
      <c r="C341" s="2">
        <v>2023</v>
      </c>
      <c r="D341" s="2">
        <f>TouristNumber[[#This Row],[Year]]+543</f>
        <v>2566</v>
      </c>
      <c r="E341" s="10">
        <v>25585</v>
      </c>
    </row>
    <row r="342" spans="1:5">
      <c r="A342" s="1" t="s">
        <v>22</v>
      </c>
      <c r="B342" s="1" t="s">
        <v>25</v>
      </c>
      <c r="C342" s="2">
        <v>2023</v>
      </c>
      <c r="D342" s="2">
        <f>TouristNumber[[#This Row],[Year]]+543</f>
        <v>2566</v>
      </c>
      <c r="E342" s="6">
        <v>32052</v>
      </c>
    </row>
    <row r="343" spans="1:5">
      <c r="A343" s="1" t="s">
        <v>22</v>
      </c>
      <c r="B343" s="1" t="s">
        <v>26</v>
      </c>
      <c r="C343" s="2">
        <v>2023</v>
      </c>
      <c r="D343" s="2">
        <f>TouristNumber[[#This Row],[Year]]+543</f>
        <v>2566</v>
      </c>
      <c r="E343" s="6">
        <v>66129</v>
      </c>
    </row>
    <row r="344" spans="1:5">
      <c r="A344" s="1" t="s">
        <v>22</v>
      </c>
      <c r="B344" s="1" t="s">
        <v>27</v>
      </c>
      <c r="C344" s="2">
        <v>2023</v>
      </c>
      <c r="D344" s="2">
        <f>TouristNumber[[#This Row],[Year]]+543</f>
        <v>2566</v>
      </c>
      <c r="E344" s="6">
        <v>33893</v>
      </c>
    </row>
    <row r="345" spans="1:5">
      <c r="A345" s="1" t="s">
        <v>76</v>
      </c>
      <c r="B345" s="1" t="s">
        <v>77</v>
      </c>
      <c r="C345" s="2">
        <v>2023</v>
      </c>
      <c r="D345" s="2">
        <f>TouristNumber[[#This Row],[Year]]+543</f>
        <v>2566</v>
      </c>
      <c r="E345" s="6">
        <v>859</v>
      </c>
    </row>
    <row r="346" spans="1:5">
      <c r="A346" s="1" t="s">
        <v>29</v>
      </c>
      <c r="B346" s="1" t="s">
        <v>30</v>
      </c>
      <c r="C346" s="2">
        <v>2023</v>
      </c>
      <c r="D346" s="2">
        <f>TouristNumber[[#This Row],[Year]]+543</f>
        <v>2566</v>
      </c>
      <c r="E346" s="10">
        <v>687745</v>
      </c>
    </row>
    <row r="347" spans="1:5">
      <c r="A347" s="1" t="s">
        <v>29</v>
      </c>
      <c r="B347" s="1" t="s">
        <v>31</v>
      </c>
      <c r="C347" s="2">
        <v>2023</v>
      </c>
      <c r="D347" s="2">
        <f>TouristNumber[[#This Row],[Year]]+543</f>
        <v>2566</v>
      </c>
      <c r="E347" s="10">
        <v>85897</v>
      </c>
    </row>
    <row r="348" spans="1:5">
      <c r="A348" s="1" t="s">
        <v>29</v>
      </c>
      <c r="B348" s="1" t="s">
        <v>32</v>
      </c>
      <c r="C348" s="2">
        <v>2023</v>
      </c>
      <c r="D348" s="2">
        <f>TouristNumber[[#This Row],[Year]]+543</f>
        <v>2566</v>
      </c>
      <c r="E348" s="10">
        <v>4537</v>
      </c>
    </row>
    <row r="349" spans="1:5">
      <c r="A349" s="1" t="s">
        <v>33</v>
      </c>
      <c r="B349" s="1" t="s">
        <v>78</v>
      </c>
      <c r="C349" s="2">
        <v>2023</v>
      </c>
      <c r="D349" s="2">
        <f>TouristNumber[[#This Row],[Year]]+543</f>
        <v>2566</v>
      </c>
      <c r="E349" s="10">
        <v>26071</v>
      </c>
    </row>
    <row r="350" spans="1:5">
      <c r="A350" s="1" t="s">
        <v>33</v>
      </c>
      <c r="B350" s="1" t="s">
        <v>34</v>
      </c>
      <c r="C350" s="2">
        <v>2023</v>
      </c>
      <c r="D350" s="2">
        <f>TouristNumber[[#This Row],[Year]]+543</f>
        <v>2566</v>
      </c>
      <c r="E350" s="10">
        <v>14930</v>
      </c>
    </row>
    <row r="351" spans="1:5">
      <c r="A351" s="1" t="s">
        <v>33</v>
      </c>
      <c r="B351" s="1" t="s">
        <v>79</v>
      </c>
      <c r="C351" s="2">
        <v>2023</v>
      </c>
      <c r="D351" s="2">
        <f>TouristNumber[[#This Row],[Year]]+543</f>
        <v>2566</v>
      </c>
      <c r="E351" s="10">
        <v>3960</v>
      </c>
    </row>
    <row r="352" spans="1:5">
      <c r="A352" s="1" t="s">
        <v>33</v>
      </c>
      <c r="B352" s="1" t="s">
        <v>80</v>
      </c>
      <c r="C352" s="2">
        <v>2023</v>
      </c>
      <c r="D352" s="2">
        <f>TouristNumber[[#This Row],[Year]]+543</f>
        <v>2566</v>
      </c>
      <c r="E352" s="10">
        <v>11023</v>
      </c>
    </row>
    <row r="353" spans="1:5">
      <c r="A353" s="1" t="s">
        <v>33</v>
      </c>
      <c r="B353" s="1" t="s">
        <v>35</v>
      </c>
      <c r="C353" s="2">
        <v>2023</v>
      </c>
      <c r="D353" s="2">
        <f>TouristNumber[[#This Row],[Year]]+543</f>
        <v>2566</v>
      </c>
      <c r="E353" s="10">
        <v>79255</v>
      </c>
    </row>
    <row r="354" spans="1:5">
      <c r="A354" s="1" t="s">
        <v>33</v>
      </c>
      <c r="B354" s="1" t="s">
        <v>81</v>
      </c>
      <c r="C354" s="2">
        <v>2023</v>
      </c>
      <c r="D354" s="2">
        <f>TouristNumber[[#This Row],[Year]]+543</f>
        <v>2566</v>
      </c>
      <c r="E354" s="10">
        <v>3617</v>
      </c>
    </row>
    <row r="355" spans="1:5">
      <c r="A355" s="1" t="s">
        <v>33</v>
      </c>
      <c r="B355" s="1" t="s">
        <v>82</v>
      </c>
      <c r="C355" s="2">
        <v>2023</v>
      </c>
      <c r="D355" s="2">
        <f>TouristNumber[[#This Row],[Year]]+543</f>
        <v>2566</v>
      </c>
      <c r="E355" s="10">
        <v>86488</v>
      </c>
    </row>
    <row r="356" spans="1:5">
      <c r="A356" s="1" t="s">
        <v>33</v>
      </c>
      <c r="B356" s="1" t="s">
        <v>83</v>
      </c>
      <c r="C356" s="2">
        <v>2023</v>
      </c>
      <c r="D356" s="2">
        <f>TouristNumber[[#This Row],[Year]]+543</f>
        <v>2566</v>
      </c>
      <c r="E356" s="10">
        <v>43162</v>
      </c>
    </row>
    <row r="357" spans="1:5">
      <c r="A357" s="1" t="s">
        <v>33</v>
      </c>
      <c r="B357" s="1" t="s">
        <v>36</v>
      </c>
      <c r="C357" s="2">
        <v>2023</v>
      </c>
      <c r="D357" s="2">
        <f>TouristNumber[[#This Row],[Year]]+543</f>
        <v>2566</v>
      </c>
      <c r="E357" s="10">
        <v>178113</v>
      </c>
    </row>
    <row r="358" spans="1:5">
      <c r="A358" s="1" t="s">
        <v>33</v>
      </c>
      <c r="B358" s="1" t="s">
        <v>37</v>
      </c>
      <c r="C358" s="2">
        <v>2023</v>
      </c>
      <c r="D358" s="2">
        <f>TouristNumber[[#This Row],[Year]]+543</f>
        <v>2566</v>
      </c>
      <c r="E358" s="10">
        <v>138934</v>
      </c>
    </row>
    <row r="359" spans="1:5">
      <c r="A359" s="1" t="s">
        <v>33</v>
      </c>
      <c r="B359" s="1" t="s">
        <v>84</v>
      </c>
      <c r="C359" s="2">
        <v>2023</v>
      </c>
      <c r="D359" s="2">
        <f>TouristNumber[[#This Row],[Year]]+543</f>
        <v>2566</v>
      </c>
      <c r="E359" s="10">
        <v>8460</v>
      </c>
    </row>
    <row r="360" spans="1:5">
      <c r="A360" s="1" t="s">
        <v>33</v>
      </c>
      <c r="B360" s="1" t="s">
        <v>38</v>
      </c>
      <c r="C360" s="2">
        <v>2023</v>
      </c>
      <c r="D360" s="2">
        <f>TouristNumber[[#This Row],[Year]]+543</f>
        <v>2566</v>
      </c>
      <c r="E360" s="10">
        <v>6486</v>
      </c>
    </row>
    <row r="361" spans="1:5">
      <c r="A361" s="1" t="s">
        <v>39</v>
      </c>
      <c r="B361" s="1" t="s">
        <v>40</v>
      </c>
      <c r="C361" s="2">
        <v>2023</v>
      </c>
      <c r="D361" s="2">
        <f>TouristNumber[[#This Row],[Year]]+543</f>
        <v>2566</v>
      </c>
      <c r="E361" s="10">
        <v>115224</v>
      </c>
    </row>
    <row r="362" spans="1:5">
      <c r="A362" s="1" t="s">
        <v>39</v>
      </c>
      <c r="B362" s="1" t="s">
        <v>41</v>
      </c>
      <c r="C362" s="2">
        <v>2023</v>
      </c>
      <c r="D362" s="2">
        <f>TouristNumber[[#This Row],[Year]]+543</f>
        <v>2566</v>
      </c>
      <c r="E362" s="10">
        <v>76193</v>
      </c>
    </row>
    <row r="363" spans="1:5">
      <c r="A363" s="1" t="s">
        <v>39</v>
      </c>
      <c r="B363" s="1" t="s">
        <v>85</v>
      </c>
      <c r="C363" s="2">
        <v>2023</v>
      </c>
      <c r="D363" s="2">
        <f>TouristNumber[[#This Row],[Year]]+543</f>
        <v>2566</v>
      </c>
      <c r="E363" s="10">
        <v>4167</v>
      </c>
    </row>
    <row r="364" spans="1:5">
      <c r="A364" s="1" t="s">
        <v>39</v>
      </c>
      <c r="B364" s="1" t="s">
        <v>86</v>
      </c>
      <c r="C364" s="2">
        <v>2023</v>
      </c>
      <c r="D364" s="2">
        <f>TouristNumber[[#This Row],[Year]]+543</f>
        <v>2566</v>
      </c>
      <c r="E364" s="10">
        <v>67638</v>
      </c>
    </row>
    <row r="365" spans="1:5">
      <c r="A365" s="1" t="s">
        <v>39</v>
      </c>
      <c r="B365" s="1" t="s">
        <v>42</v>
      </c>
      <c r="C365" s="2">
        <v>2023</v>
      </c>
      <c r="D365" s="2">
        <f>TouristNumber[[#This Row],[Year]]+543</f>
        <v>2566</v>
      </c>
      <c r="E365" s="10">
        <v>83952</v>
      </c>
    </row>
    <row r="366" spans="1:5">
      <c r="A366" s="1" t="s">
        <v>39</v>
      </c>
      <c r="B366" s="1" t="s">
        <v>43</v>
      </c>
      <c r="C366" s="2">
        <v>2023</v>
      </c>
      <c r="D366" s="2">
        <f>TouristNumber[[#This Row],[Year]]+543</f>
        <v>2566</v>
      </c>
      <c r="E366" s="10">
        <v>178259</v>
      </c>
    </row>
    <row r="367" spans="1:5">
      <c r="A367" s="1" t="s">
        <v>39</v>
      </c>
      <c r="B367" s="1" t="s">
        <v>44</v>
      </c>
      <c r="C367" s="2">
        <v>2023</v>
      </c>
      <c r="D367" s="2">
        <f>TouristNumber[[#This Row],[Year]]+543</f>
        <v>2566</v>
      </c>
      <c r="E367" s="10">
        <v>817220</v>
      </c>
    </row>
    <row r="368" spans="1:5">
      <c r="A368" s="1" t="s">
        <v>45</v>
      </c>
      <c r="B368" s="1" t="s">
        <v>46</v>
      </c>
      <c r="C368" s="2">
        <v>2023</v>
      </c>
      <c r="D368" s="2">
        <f>TouristNumber[[#This Row],[Year]]+543</f>
        <v>2566</v>
      </c>
      <c r="E368" s="10">
        <v>88706</v>
      </c>
    </row>
    <row r="369" spans="1:5">
      <c r="A369" s="1" t="s">
        <v>45</v>
      </c>
      <c r="B369" s="1" t="s">
        <v>47</v>
      </c>
      <c r="C369" s="2">
        <v>2023</v>
      </c>
      <c r="D369" s="2">
        <f>TouristNumber[[#This Row],[Year]]+543</f>
        <v>2566</v>
      </c>
      <c r="E369" s="10">
        <v>85512</v>
      </c>
    </row>
    <row r="370" spans="1:5">
      <c r="A370" s="1" t="s">
        <v>45</v>
      </c>
      <c r="B370" s="1" t="s">
        <v>48</v>
      </c>
      <c r="C370" s="2">
        <v>2023</v>
      </c>
      <c r="D370" s="2">
        <f>TouristNumber[[#This Row],[Year]]+543</f>
        <v>2566</v>
      </c>
      <c r="E370" s="10">
        <v>545003</v>
      </c>
    </row>
    <row r="371" spans="1:5">
      <c r="A371" s="1" t="s">
        <v>45</v>
      </c>
      <c r="B371" s="1" t="s">
        <v>49</v>
      </c>
      <c r="C371" s="2">
        <v>2023</v>
      </c>
      <c r="D371" s="2">
        <f>TouristNumber[[#This Row],[Year]]+543</f>
        <v>2566</v>
      </c>
      <c r="E371" s="10">
        <v>729163</v>
      </c>
    </row>
    <row r="372" spans="1:5">
      <c r="A372" s="1" t="s">
        <v>45</v>
      </c>
      <c r="B372" s="1" t="s">
        <v>87</v>
      </c>
      <c r="C372" s="2">
        <v>2023</v>
      </c>
      <c r="D372" s="2">
        <f>TouristNumber[[#This Row],[Year]]+543</f>
        <v>2566</v>
      </c>
      <c r="E372" s="10">
        <v>4588</v>
      </c>
    </row>
    <row r="373" spans="1:5">
      <c r="A373" s="1" t="s">
        <v>45</v>
      </c>
      <c r="B373" s="1" t="s">
        <v>50</v>
      </c>
      <c r="C373" s="2">
        <v>2023</v>
      </c>
      <c r="D373" s="2">
        <f>TouristNumber[[#This Row],[Year]]+543</f>
        <v>2566</v>
      </c>
      <c r="E373" s="10">
        <v>229539</v>
      </c>
    </row>
    <row r="374" spans="1:5">
      <c r="A374" s="1" t="s">
        <v>45</v>
      </c>
      <c r="B374" s="1" t="s">
        <v>51</v>
      </c>
      <c r="C374" s="2">
        <v>2023</v>
      </c>
      <c r="D374" s="2">
        <f>TouristNumber[[#This Row],[Year]]+543</f>
        <v>2566</v>
      </c>
      <c r="E374" s="10">
        <v>156337</v>
      </c>
    </row>
    <row r="375" spans="1:5">
      <c r="A375" s="1" t="s">
        <v>52</v>
      </c>
      <c r="B375" s="1" t="s">
        <v>88</v>
      </c>
      <c r="C375" s="2">
        <v>2023</v>
      </c>
      <c r="D375" s="2">
        <f>TouristNumber[[#This Row],[Year]]+543</f>
        <v>2566</v>
      </c>
      <c r="E375" s="10">
        <v>9062</v>
      </c>
    </row>
    <row r="376" spans="1:5">
      <c r="A376" s="1" t="s">
        <v>52</v>
      </c>
      <c r="B376" s="1" t="s">
        <v>89</v>
      </c>
      <c r="C376" s="2">
        <v>2023</v>
      </c>
      <c r="D376" s="2">
        <f>TouristNumber[[#This Row],[Year]]+543</f>
        <v>2566</v>
      </c>
      <c r="E376" s="10">
        <v>12709</v>
      </c>
    </row>
    <row r="377" spans="1:5">
      <c r="A377" s="1" t="s">
        <v>52</v>
      </c>
      <c r="B377" s="1" t="s">
        <v>90</v>
      </c>
      <c r="C377" s="2">
        <v>2023</v>
      </c>
      <c r="D377" s="2">
        <f>TouristNumber[[#This Row],[Year]]+543</f>
        <v>2566</v>
      </c>
      <c r="E377" s="10">
        <v>48940</v>
      </c>
    </row>
    <row r="378" spans="1:5">
      <c r="A378" s="1" t="s">
        <v>52</v>
      </c>
      <c r="B378" s="1" t="s">
        <v>91</v>
      </c>
      <c r="C378" s="2">
        <v>2023</v>
      </c>
      <c r="D378" s="2">
        <f>TouristNumber[[#This Row],[Year]]+543</f>
        <v>2566</v>
      </c>
      <c r="E378" s="10">
        <v>14900</v>
      </c>
    </row>
    <row r="379" spans="1:5">
      <c r="A379" s="1" t="s">
        <v>52</v>
      </c>
      <c r="B379" s="1" t="s">
        <v>92</v>
      </c>
      <c r="C379" s="2">
        <v>2023</v>
      </c>
      <c r="D379" s="2">
        <f>TouristNumber[[#This Row],[Year]]+543</f>
        <v>2566</v>
      </c>
      <c r="E379" s="10">
        <v>27906</v>
      </c>
    </row>
    <row r="380" spans="1:5">
      <c r="A380" s="1" t="s">
        <v>52</v>
      </c>
      <c r="B380" s="1" t="s">
        <v>93</v>
      </c>
      <c r="C380" s="2">
        <v>2023</v>
      </c>
      <c r="D380" s="2">
        <f>TouristNumber[[#This Row],[Year]]+543</f>
        <v>2566</v>
      </c>
      <c r="E380" s="10">
        <v>172489</v>
      </c>
    </row>
    <row r="381" spans="1:5">
      <c r="A381" s="1" t="s">
        <v>52</v>
      </c>
      <c r="B381" s="1" t="s">
        <v>94</v>
      </c>
      <c r="C381" s="2">
        <v>2023</v>
      </c>
      <c r="D381" s="2">
        <f>TouristNumber[[#This Row],[Year]]+543</f>
        <v>2566</v>
      </c>
      <c r="E381" s="10">
        <v>4726</v>
      </c>
    </row>
    <row r="382" spans="1:5">
      <c r="A382" s="1" t="s">
        <v>52</v>
      </c>
      <c r="B382" s="1" t="s">
        <v>95</v>
      </c>
      <c r="C382" s="2">
        <v>2023</v>
      </c>
      <c r="D382" s="2">
        <f>TouristNumber[[#This Row],[Year]]+543</f>
        <v>2566</v>
      </c>
      <c r="E382" s="10">
        <v>9137</v>
      </c>
    </row>
    <row r="383" spans="1:5">
      <c r="A383" s="1" t="s">
        <v>52</v>
      </c>
      <c r="B383" s="1" t="s">
        <v>96</v>
      </c>
      <c r="C383" s="2">
        <v>2023</v>
      </c>
      <c r="D383" s="2">
        <f>TouristNumber[[#This Row],[Year]]+543</f>
        <v>2566</v>
      </c>
      <c r="E383" s="10">
        <v>18675</v>
      </c>
    </row>
    <row r="384" spans="1:5">
      <c r="A384" s="1" t="s">
        <v>52</v>
      </c>
      <c r="B384" s="1" t="s">
        <v>97</v>
      </c>
      <c r="C384" s="2">
        <v>2023</v>
      </c>
      <c r="D384" s="2">
        <f>TouristNumber[[#This Row],[Year]]+543</f>
        <v>2566</v>
      </c>
      <c r="E384" s="10">
        <v>121700</v>
      </c>
    </row>
    <row r="385" spans="1:5">
      <c r="A385" s="1" t="s">
        <v>52</v>
      </c>
      <c r="B385" s="1" t="s">
        <v>98</v>
      </c>
      <c r="C385" s="2">
        <v>2023</v>
      </c>
      <c r="D385" s="2">
        <f>TouristNumber[[#This Row],[Year]]+543</f>
        <v>2566</v>
      </c>
      <c r="E385" s="11">
        <v>36150</v>
      </c>
    </row>
    <row r="386" spans="1:5">
      <c r="A386" s="1" t="s">
        <v>52</v>
      </c>
      <c r="B386" s="1" t="s">
        <v>53</v>
      </c>
      <c r="C386" s="2">
        <v>2023</v>
      </c>
      <c r="D386" s="2">
        <f>TouristNumber[[#This Row],[Year]]+543</f>
        <v>2566</v>
      </c>
      <c r="E386" s="11">
        <v>1482611</v>
      </c>
    </row>
    <row r="387" spans="1:5">
      <c r="A387" s="1" t="s">
        <v>52</v>
      </c>
      <c r="B387" s="1" t="s">
        <v>99</v>
      </c>
      <c r="C387" s="2">
        <v>2023</v>
      </c>
      <c r="D387" s="2">
        <f>TouristNumber[[#This Row],[Year]]+543</f>
        <v>2566</v>
      </c>
      <c r="E387" s="11">
        <v>21303</v>
      </c>
    </row>
    <row r="388" spans="1:5">
      <c r="A388" s="1" t="s">
        <v>52</v>
      </c>
      <c r="B388" s="1" t="s">
        <v>100</v>
      </c>
      <c r="C388" s="2">
        <v>2023</v>
      </c>
      <c r="D388" s="2">
        <f>TouristNumber[[#This Row],[Year]]+543</f>
        <v>2566</v>
      </c>
      <c r="E388" s="10">
        <v>36426</v>
      </c>
    </row>
    <row r="389" spans="1:5">
      <c r="A389" s="1" t="s">
        <v>52</v>
      </c>
      <c r="B389" s="1" t="s">
        <v>101</v>
      </c>
      <c r="C389" s="2">
        <v>2023</v>
      </c>
      <c r="D389" s="2">
        <f>TouristNumber[[#This Row],[Year]]+543</f>
        <v>2566</v>
      </c>
      <c r="E389" s="10">
        <v>34151</v>
      </c>
    </row>
    <row r="390" spans="1:5">
      <c r="A390" s="1" t="s">
        <v>55</v>
      </c>
      <c r="B390" s="1" t="s">
        <v>102</v>
      </c>
      <c r="C390" s="2">
        <v>2023</v>
      </c>
      <c r="D390" s="2">
        <f>TouristNumber[[#This Row],[Year]]+543</f>
        <v>2566</v>
      </c>
      <c r="E390" s="10">
        <v>6370</v>
      </c>
    </row>
    <row r="391" spans="1:5">
      <c r="A391" s="1" t="s">
        <v>55</v>
      </c>
      <c r="B391" s="1" t="s">
        <v>103</v>
      </c>
      <c r="C391" s="2">
        <v>2023</v>
      </c>
      <c r="D391" s="2">
        <f>TouristNumber[[#This Row],[Year]]+543</f>
        <v>2566</v>
      </c>
      <c r="E391" s="10">
        <v>2893</v>
      </c>
    </row>
    <row r="392" spans="1:5">
      <c r="A392" s="1" t="s">
        <v>55</v>
      </c>
      <c r="B392" s="1" t="s">
        <v>104</v>
      </c>
      <c r="C392" s="2">
        <v>2023</v>
      </c>
      <c r="D392" s="2">
        <f>TouristNumber[[#This Row],[Year]]+543</f>
        <v>2566</v>
      </c>
      <c r="E392" s="10">
        <v>16562</v>
      </c>
    </row>
    <row r="393" spans="1:5">
      <c r="A393" s="1" t="s">
        <v>33</v>
      </c>
      <c r="B393" s="1" t="s">
        <v>54</v>
      </c>
      <c r="C393" s="2">
        <v>2023</v>
      </c>
      <c r="D393" s="2">
        <f>TouristNumber[[#This Row],[Year]]+543</f>
        <v>2566</v>
      </c>
      <c r="E393" s="10">
        <v>217084</v>
      </c>
    </row>
    <row r="394" spans="1:5">
      <c r="A394" s="1" t="s">
        <v>55</v>
      </c>
      <c r="B394" s="1" t="s">
        <v>56</v>
      </c>
      <c r="C394" s="2">
        <v>2023</v>
      </c>
      <c r="D394" s="2">
        <f>TouristNumber[[#This Row],[Year]]+543</f>
        <v>2566</v>
      </c>
      <c r="E394" s="10">
        <v>191983</v>
      </c>
    </row>
    <row r="395" spans="1:5">
      <c r="A395" s="1" t="s">
        <v>55</v>
      </c>
      <c r="B395" s="1" t="s">
        <v>105</v>
      </c>
      <c r="C395" s="2">
        <v>2023</v>
      </c>
      <c r="D395" s="2">
        <f>TouristNumber[[#This Row],[Year]]+543</f>
        <v>2566</v>
      </c>
      <c r="E395" s="10">
        <v>41101</v>
      </c>
    </row>
    <row r="396" spans="1:5">
      <c r="A396" s="1" t="s">
        <v>55</v>
      </c>
      <c r="B396" s="1" t="s">
        <v>106</v>
      </c>
      <c r="C396" s="2">
        <v>2023</v>
      </c>
      <c r="D396" s="2">
        <f>TouristNumber[[#This Row],[Year]]+543</f>
        <v>2566</v>
      </c>
      <c r="E396" s="10">
        <v>7255</v>
      </c>
    </row>
    <row r="397" spans="1:5">
      <c r="A397" s="1" t="s">
        <v>55</v>
      </c>
      <c r="B397" s="1" t="s">
        <v>107</v>
      </c>
      <c r="C397" s="2">
        <v>2023</v>
      </c>
      <c r="D397" s="2">
        <f>TouristNumber[[#This Row],[Year]]+543</f>
        <v>2566</v>
      </c>
      <c r="E397" s="10">
        <v>9828</v>
      </c>
    </row>
    <row r="398" spans="1:5">
      <c r="A398" s="1" t="s">
        <v>55</v>
      </c>
      <c r="B398" s="1" t="s">
        <v>57</v>
      </c>
      <c r="C398" s="2">
        <v>2023</v>
      </c>
      <c r="D398" s="2">
        <f>TouristNumber[[#This Row],[Year]]+543</f>
        <v>2566</v>
      </c>
      <c r="E398" s="10">
        <v>153458</v>
      </c>
    </row>
    <row r="399" spans="1:5">
      <c r="A399" s="1" t="s">
        <v>55</v>
      </c>
      <c r="B399" s="1" t="s">
        <v>108</v>
      </c>
      <c r="C399" s="2">
        <v>2023</v>
      </c>
      <c r="D399" s="2">
        <f>TouristNumber[[#This Row],[Year]]+543</f>
        <v>2566</v>
      </c>
      <c r="E399" s="10">
        <v>69108</v>
      </c>
    </row>
    <row r="400" spans="1:5">
      <c r="A400" s="1" t="s">
        <v>58</v>
      </c>
      <c r="B400" s="1" t="s">
        <v>60</v>
      </c>
      <c r="C400" s="2">
        <v>2023</v>
      </c>
      <c r="D400" s="2">
        <f>TouristNumber[[#This Row],[Year]]+543</f>
        <v>2566</v>
      </c>
      <c r="E400" s="10">
        <v>14203</v>
      </c>
    </row>
    <row r="401" spans="1:5">
      <c r="A401" s="1" t="s">
        <v>61</v>
      </c>
      <c r="B401" s="1" t="s">
        <v>62</v>
      </c>
      <c r="C401" s="2">
        <v>2023</v>
      </c>
      <c r="D401" s="2">
        <f>TouristNumber[[#This Row],[Year]]+543</f>
        <v>2566</v>
      </c>
      <c r="E401" s="10">
        <v>214264</v>
      </c>
    </row>
    <row r="402" spans="1:5">
      <c r="A402" s="1" t="s">
        <v>61</v>
      </c>
      <c r="B402" s="1" t="s">
        <v>109</v>
      </c>
      <c r="C402" s="2">
        <v>2023</v>
      </c>
      <c r="D402" s="2">
        <f>TouristNumber[[#This Row],[Year]]+543</f>
        <v>2566</v>
      </c>
      <c r="E402" s="10">
        <v>32195</v>
      </c>
    </row>
    <row r="403" spans="1:5">
      <c r="A403" s="1" t="s">
        <v>61</v>
      </c>
      <c r="B403" s="1" t="s">
        <v>63</v>
      </c>
      <c r="C403" s="2">
        <v>2023</v>
      </c>
      <c r="D403" s="2">
        <f>TouristNumber[[#This Row],[Year]]+543</f>
        <v>2566</v>
      </c>
      <c r="E403" s="10">
        <v>930206</v>
      </c>
    </row>
    <row r="404" spans="1:5">
      <c r="A404" s="1" t="s">
        <v>61</v>
      </c>
      <c r="B404" s="1" t="s">
        <v>64</v>
      </c>
      <c r="C404" s="2">
        <v>2023</v>
      </c>
      <c r="D404" s="2">
        <f>TouristNumber[[#This Row],[Year]]+543</f>
        <v>2566</v>
      </c>
      <c r="E404" s="10">
        <v>18782</v>
      </c>
    </row>
    <row r="405" spans="1:5">
      <c r="A405" s="1" t="s">
        <v>61</v>
      </c>
      <c r="B405" s="1" t="s">
        <v>65</v>
      </c>
      <c r="C405" s="2">
        <v>2023</v>
      </c>
      <c r="D405" s="2">
        <f>TouristNumber[[#This Row],[Year]]+543</f>
        <v>2566</v>
      </c>
      <c r="E405" s="10">
        <v>50005</v>
      </c>
    </row>
    <row r="406" spans="1:5">
      <c r="A406" s="1" t="s">
        <v>61</v>
      </c>
      <c r="B406" s="1" t="s">
        <v>110</v>
      </c>
      <c r="C406" s="2">
        <v>2023</v>
      </c>
      <c r="D406" s="2">
        <f>TouristNumber[[#This Row],[Year]]+543</f>
        <v>2566</v>
      </c>
      <c r="E406" s="10">
        <v>13583</v>
      </c>
    </row>
    <row r="407" spans="1:5">
      <c r="A407" s="1" t="s">
        <v>61</v>
      </c>
      <c r="B407" s="1" t="s">
        <v>111</v>
      </c>
      <c r="C407" s="2">
        <v>2023</v>
      </c>
      <c r="D407" s="2">
        <f>TouristNumber[[#This Row],[Year]]+543</f>
        <v>2566</v>
      </c>
      <c r="E407" s="10">
        <v>8817</v>
      </c>
    </row>
    <row r="408" spans="1:5">
      <c r="A408" s="1" t="s">
        <v>61</v>
      </c>
      <c r="B408" s="1" t="s">
        <v>112</v>
      </c>
      <c r="C408" s="2">
        <v>2023</v>
      </c>
      <c r="D408" s="2">
        <f>TouristNumber[[#This Row],[Year]]+543</f>
        <v>2566</v>
      </c>
      <c r="E408" s="10">
        <v>6397</v>
      </c>
    </row>
    <row r="409" spans="1:5">
      <c r="A409" s="1" t="s">
        <v>61</v>
      </c>
      <c r="B409" s="1" t="s">
        <v>113</v>
      </c>
      <c r="C409" s="2">
        <v>2023</v>
      </c>
      <c r="D409" s="2">
        <f>TouristNumber[[#This Row],[Year]]+543</f>
        <v>2566</v>
      </c>
      <c r="E409" s="10">
        <v>3064</v>
      </c>
    </row>
    <row r="410" spans="1:5">
      <c r="A410" s="1" t="s">
        <v>61</v>
      </c>
      <c r="B410" s="1" t="s">
        <v>66</v>
      </c>
      <c r="C410" s="2">
        <v>2023</v>
      </c>
      <c r="D410" s="2">
        <f>TouristNumber[[#This Row],[Year]]+543</f>
        <v>2566</v>
      </c>
      <c r="E410" s="10">
        <v>10148</v>
      </c>
    </row>
    <row r="411" spans="1:5">
      <c r="A411" s="1" t="s">
        <v>67</v>
      </c>
      <c r="B411" s="1" t="s">
        <v>114</v>
      </c>
      <c r="C411" s="2">
        <v>2023</v>
      </c>
      <c r="D411" s="2">
        <f>TouristNumber[[#This Row],[Year]]+543</f>
        <v>2566</v>
      </c>
      <c r="E411" s="10">
        <v>8899</v>
      </c>
    </row>
    <row r="412" spans="1:5">
      <c r="A412" s="1" t="s">
        <v>67</v>
      </c>
      <c r="B412" s="1" t="s">
        <v>68</v>
      </c>
      <c r="C412" s="2">
        <v>2023</v>
      </c>
      <c r="D412" s="2">
        <f>TouristNumber[[#This Row],[Year]]+543</f>
        <v>2566</v>
      </c>
      <c r="E412" s="10">
        <v>60280</v>
      </c>
    </row>
    <row r="413" spans="1:5">
      <c r="A413" s="1" t="s">
        <v>67</v>
      </c>
      <c r="B413" s="1" t="s">
        <v>115</v>
      </c>
      <c r="C413" s="2">
        <v>2023</v>
      </c>
      <c r="D413" s="2">
        <f>TouristNumber[[#This Row],[Year]]+543</f>
        <v>2566</v>
      </c>
      <c r="E413" s="10">
        <v>12845</v>
      </c>
    </row>
    <row r="414" spans="1:5">
      <c r="A414" s="1" t="s">
        <v>67</v>
      </c>
      <c r="B414" s="1" t="s">
        <v>116</v>
      </c>
      <c r="C414" s="2">
        <v>2023</v>
      </c>
      <c r="D414" s="2">
        <f>TouristNumber[[#This Row],[Year]]+543</f>
        <v>2566</v>
      </c>
      <c r="E414" s="10">
        <v>4459</v>
      </c>
    </row>
    <row r="415" spans="1:5">
      <c r="A415" s="1" t="s">
        <v>67</v>
      </c>
      <c r="B415" s="1" t="s">
        <v>117</v>
      </c>
      <c r="C415" s="2">
        <v>2023</v>
      </c>
      <c r="D415" s="2">
        <f>TouristNumber[[#This Row],[Year]]+543</f>
        <v>2566</v>
      </c>
      <c r="E415" s="10">
        <v>12099</v>
      </c>
    </row>
    <row r="416" spans="1:5">
      <c r="A416" s="1" t="s">
        <v>67</v>
      </c>
      <c r="B416" s="1" t="s">
        <v>69</v>
      </c>
      <c r="C416" s="2">
        <v>2023</v>
      </c>
      <c r="D416" s="2">
        <f>TouristNumber[[#This Row],[Year]]+543</f>
        <v>2566</v>
      </c>
      <c r="E416" s="10">
        <v>23485</v>
      </c>
    </row>
    <row r="417" spans="1:5">
      <c r="A417" s="12" t="s">
        <v>5</v>
      </c>
      <c r="B417" s="1" t="s">
        <v>6</v>
      </c>
      <c r="C417" s="13">
        <v>2024</v>
      </c>
      <c r="D417" s="13">
        <f>TouristNumber[[#This Row],[Year]]+543</f>
        <v>2567</v>
      </c>
      <c r="E417" s="14">
        <v>16188</v>
      </c>
    </row>
    <row r="418" spans="1:5">
      <c r="A418" s="12" t="s">
        <v>5</v>
      </c>
      <c r="B418" s="1" t="s">
        <v>7</v>
      </c>
      <c r="C418" s="13">
        <v>2024</v>
      </c>
      <c r="D418" s="13">
        <f>TouristNumber[[#This Row],[Year]]+543</f>
        <v>2567</v>
      </c>
      <c r="E418" s="14">
        <v>553060</v>
      </c>
    </row>
    <row r="419" spans="1:5">
      <c r="A419" s="12" t="s">
        <v>5</v>
      </c>
      <c r="B419" s="1" t="s">
        <v>8</v>
      </c>
      <c r="C419" s="13">
        <v>2024</v>
      </c>
      <c r="D419" s="13">
        <f>TouristNumber[[#This Row],[Year]]+543</f>
        <v>2567</v>
      </c>
      <c r="E419" s="14">
        <v>876610</v>
      </c>
    </row>
    <row r="420" spans="1:5">
      <c r="A420" s="12" t="s">
        <v>5</v>
      </c>
      <c r="B420" s="1" t="s">
        <v>9</v>
      </c>
      <c r="C420" s="13">
        <v>2024</v>
      </c>
      <c r="D420" s="13">
        <f>TouristNumber[[#This Row],[Year]]+543</f>
        <v>2567</v>
      </c>
      <c r="E420" s="14">
        <v>1124202</v>
      </c>
    </row>
    <row r="421" spans="1:5">
      <c r="A421" s="12" t="s">
        <v>5</v>
      </c>
      <c r="B421" s="1" t="s">
        <v>10</v>
      </c>
      <c r="C421" s="13">
        <v>2024</v>
      </c>
      <c r="D421" s="13">
        <f>TouristNumber[[#This Row],[Year]]+543</f>
        <v>2567</v>
      </c>
      <c r="E421" s="14">
        <v>4952078</v>
      </c>
    </row>
    <row r="422" spans="1:5">
      <c r="A422" s="12" t="s">
        <v>5</v>
      </c>
      <c r="B422" s="1" t="s">
        <v>11</v>
      </c>
      <c r="C422" s="13">
        <v>2024</v>
      </c>
      <c r="D422" s="13">
        <f>TouristNumber[[#This Row],[Year]]+543</f>
        <v>2567</v>
      </c>
      <c r="E422" s="14">
        <v>546629</v>
      </c>
    </row>
    <row r="423" spans="1:5">
      <c r="A423" s="12" t="s">
        <v>5</v>
      </c>
      <c r="B423" s="1" t="s">
        <v>12</v>
      </c>
      <c r="C423" s="13">
        <v>2024</v>
      </c>
      <c r="D423" s="13">
        <f>TouristNumber[[#This Row],[Year]]+543</f>
        <v>2567</v>
      </c>
      <c r="E423" s="14">
        <v>598124</v>
      </c>
    </row>
    <row r="424" spans="1:5">
      <c r="A424" s="12" t="s">
        <v>5</v>
      </c>
      <c r="B424" s="1" t="s">
        <v>13</v>
      </c>
      <c r="C424" s="13">
        <v>2024</v>
      </c>
      <c r="D424" s="13">
        <f>TouristNumber[[#This Row],[Year]]+543</f>
        <v>2567</v>
      </c>
      <c r="E424" s="14">
        <v>1009640</v>
      </c>
    </row>
    <row r="425" spans="1:5">
      <c r="A425" s="12" t="s">
        <v>5</v>
      </c>
      <c r="B425" s="1" t="s">
        <v>14</v>
      </c>
      <c r="C425" s="13">
        <v>2024</v>
      </c>
      <c r="D425" s="13">
        <f>TouristNumber[[#This Row],[Year]]+543</f>
        <v>2567</v>
      </c>
      <c r="E425" s="14">
        <v>984248</v>
      </c>
    </row>
    <row r="426" spans="1:5">
      <c r="A426" s="1" t="s">
        <v>15</v>
      </c>
      <c r="B426" s="1" t="s">
        <v>16</v>
      </c>
      <c r="C426" s="13">
        <v>2024</v>
      </c>
      <c r="D426" s="13">
        <f>TouristNumber[[#This Row],[Year]]+543</f>
        <v>2567</v>
      </c>
      <c r="E426" s="14">
        <v>6733162</v>
      </c>
    </row>
    <row r="427" spans="1:5">
      <c r="A427" s="1" t="s">
        <v>15</v>
      </c>
      <c r="B427" s="1" t="s">
        <v>17</v>
      </c>
      <c r="C427" s="13">
        <v>2024</v>
      </c>
      <c r="D427" s="13">
        <f>TouristNumber[[#This Row],[Year]]+543</f>
        <v>2567</v>
      </c>
      <c r="E427" s="14">
        <v>876076</v>
      </c>
    </row>
    <row r="428" spans="1:5">
      <c r="A428" s="1" t="s">
        <v>15</v>
      </c>
      <c r="B428" s="1" t="s">
        <v>18</v>
      </c>
      <c r="C428" s="13">
        <v>2024</v>
      </c>
      <c r="D428" s="13">
        <f>TouristNumber[[#This Row],[Year]]+543</f>
        <v>2567</v>
      </c>
      <c r="E428" s="14">
        <v>1050904</v>
      </c>
    </row>
    <row r="429" spans="1:5">
      <c r="A429" s="1" t="s">
        <v>15</v>
      </c>
      <c r="B429" s="1" t="s">
        <v>70</v>
      </c>
      <c r="C429" s="13">
        <v>2024</v>
      </c>
      <c r="D429" s="13">
        <f>TouristNumber[[#This Row],[Year]]+543</f>
        <v>2567</v>
      </c>
      <c r="E429" s="13">
        <v>43</v>
      </c>
    </row>
    <row r="430" spans="1:5">
      <c r="A430" s="1" t="s">
        <v>15</v>
      </c>
      <c r="B430" s="1" t="s">
        <v>19</v>
      </c>
      <c r="C430" s="13">
        <v>2024</v>
      </c>
      <c r="D430" s="13">
        <f>TouristNumber[[#This Row],[Year]]+543</f>
        <v>2567</v>
      </c>
      <c r="E430" s="14">
        <v>1868945</v>
      </c>
    </row>
    <row r="431" spans="1:5">
      <c r="A431" s="1" t="s">
        <v>15</v>
      </c>
      <c r="B431" s="1" t="s">
        <v>71</v>
      </c>
      <c r="C431" s="13">
        <v>2024</v>
      </c>
      <c r="D431" s="13">
        <f>TouristNumber[[#This Row],[Year]]+543</f>
        <v>2567</v>
      </c>
      <c r="E431" s="14">
        <v>55380</v>
      </c>
    </row>
    <row r="432" spans="1:5">
      <c r="A432" s="1" t="s">
        <v>15</v>
      </c>
      <c r="B432" s="1" t="s">
        <v>72</v>
      </c>
      <c r="C432" s="13">
        <v>2024</v>
      </c>
      <c r="D432" s="13">
        <f>TouristNumber[[#This Row],[Year]]+543</f>
        <v>2567</v>
      </c>
      <c r="E432" s="14">
        <v>32345</v>
      </c>
    </row>
    <row r="433" spans="1:5">
      <c r="A433" s="1" t="s">
        <v>15</v>
      </c>
      <c r="B433" s="1" t="s">
        <v>20</v>
      </c>
      <c r="C433" s="13">
        <v>2024</v>
      </c>
      <c r="D433" s="13">
        <f>TouristNumber[[#This Row],[Year]]+543</f>
        <v>2567</v>
      </c>
      <c r="E433" s="14">
        <v>1089910</v>
      </c>
    </row>
    <row r="434" spans="1:5">
      <c r="A434" s="1" t="s">
        <v>22</v>
      </c>
      <c r="B434" s="1" t="s">
        <v>23</v>
      </c>
      <c r="C434" s="13">
        <v>2024</v>
      </c>
      <c r="D434" s="13">
        <f>TouristNumber[[#This Row],[Year]]+543</f>
        <v>2567</v>
      </c>
      <c r="E434" s="14">
        <v>142268</v>
      </c>
    </row>
    <row r="435" spans="1:5">
      <c r="A435" s="1" t="s">
        <v>22</v>
      </c>
      <c r="B435" s="1" t="s">
        <v>73</v>
      </c>
      <c r="C435" s="13">
        <v>2024</v>
      </c>
      <c r="D435" s="13">
        <f>TouristNumber[[#This Row],[Year]]+543</f>
        <v>2567</v>
      </c>
      <c r="E435" s="14">
        <v>21581</v>
      </c>
    </row>
    <row r="436" spans="1:5">
      <c r="A436" s="1" t="s">
        <v>22</v>
      </c>
      <c r="B436" s="1" t="s">
        <v>24</v>
      </c>
      <c r="C436" s="13">
        <v>2024</v>
      </c>
      <c r="D436" s="13">
        <f>TouristNumber[[#This Row],[Year]]+543</f>
        <v>2567</v>
      </c>
      <c r="E436" s="14">
        <v>2129149</v>
      </c>
    </row>
    <row r="437" spans="1:5">
      <c r="A437" s="1" t="s">
        <v>22</v>
      </c>
      <c r="B437" s="1" t="s">
        <v>74</v>
      </c>
      <c r="C437" s="13">
        <v>2024</v>
      </c>
      <c r="D437" s="13">
        <f>TouristNumber[[#This Row],[Year]]+543</f>
        <v>2567</v>
      </c>
      <c r="E437" s="14">
        <v>64962</v>
      </c>
    </row>
    <row r="438" spans="1:5">
      <c r="A438" s="1" t="s">
        <v>22</v>
      </c>
      <c r="B438" s="1" t="s">
        <v>75</v>
      </c>
      <c r="C438" s="13">
        <v>2024</v>
      </c>
      <c r="D438" s="13">
        <f>TouristNumber[[#This Row],[Year]]+543</f>
        <v>2567</v>
      </c>
      <c r="E438" s="14">
        <v>28436</v>
      </c>
    </row>
    <row r="439" spans="1:5">
      <c r="A439" s="1" t="s">
        <v>22</v>
      </c>
      <c r="B439" s="1" t="s">
        <v>25</v>
      </c>
      <c r="C439" s="13">
        <v>2024</v>
      </c>
      <c r="D439" s="13">
        <f>TouristNumber[[#This Row],[Year]]+543</f>
        <v>2567</v>
      </c>
      <c r="E439" s="14">
        <v>43765</v>
      </c>
    </row>
    <row r="440" spans="1:5">
      <c r="A440" s="1" t="s">
        <v>22</v>
      </c>
      <c r="B440" s="1" t="s">
        <v>26</v>
      </c>
      <c r="C440" s="13">
        <v>2024</v>
      </c>
      <c r="D440" s="13">
        <f>TouristNumber[[#This Row],[Year]]+543</f>
        <v>2567</v>
      </c>
      <c r="E440" s="14">
        <v>75114</v>
      </c>
    </row>
    <row r="441" spans="1:5">
      <c r="A441" s="1" t="s">
        <v>22</v>
      </c>
      <c r="B441" s="1" t="s">
        <v>27</v>
      </c>
      <c r="C441" s="13">
        <v>2024</v>
      </c>
      <c r="D441" s="13">
        <f>TouristNumber[[#This Row],[Year]]+543</f>
        <v>2567</v>
      </c>
      <c r="E441" s="14">
        <v>68653</v>
      </c>
    </row>
    <row r="442" spans="1:5">
      <c r="A442" s="1" t="s">
        <v>76</v>
      </c>
      <c r="B442" s="1" t="s">
        <v>77</v>
      </c>
      <c r="C442" s="13">
        <v>2024</v>
      </c>
      <c r="D442" s="13">
        <f>TouristNumber[[#This Row],[Year]]+543</f>
        <v>2567</v>
      </c>
      <c r="E442" s="14">
        <v>1496</v>
      </c>
    </row>
    <row r="443" spans="1:5">
      <c r="A443" s="1" t="s">
        <v>29</v>
      </c>
      <c r="B443" s="1" t="s">
        <v>30</v>
      </c>
      <c r="C443" s="13">
        <v>2024</v>
      </c>
      <c r="D443" s="13">
        <f>TouristNumber[[#This Row],[Year]]+543</f>
        <v>2567</v>
      </c>
      <c r="E443" s="14">
        <v>775010</v>
      </c>
    </row>
    <row r="444" spans="1:5">
      <c r="A444" s="1" t="s">
        <v>29</v>
      </c>
      <c r="B444" s="1" t="s">
        <v>31</v>
      </c>
      <c r="C444" s="13">
        <v>2024</v>
      </c>
      <c r="D444" s="13">
        <f>TouristNumber[[#This Row],[Year]]+543</f>
        <v>2567</v>
      </c>
      <c r="E444" s="14">
        <v>96733</v>
      </c>
    </row>
    <row r="445" spans="1:5">
      <c r="A445" s="1" t="s">
        <v>29</v>
      </c>
      <c r="B445" s="1" t="s">
        <v>32</v>
      </c>
      <c r="C445" s="13">
        <v>2024</v>
      </c>
      <c r="D445" s="13">
        <f>TouristNumber[[#This Row],[Year]]+543</f>
        <v>2567</v>
      </c>
      <c r="E445" s="14">
        <v>5907</v>
      </c>
    </row>
    <row r="446" spans="1:5">
      <c r="A446" s="1" t="s">
        <v>33</v>
      </c>
      <c r="B446" s="1" t="s">
        <v>78</v>
      </c>
      <c r="C446" s="13">
        <v>2024</v>
      </c>
      <c r="D446" s="13">
        <f>TouristNumber[[#This Row],[Year]]+543</f>
        <v>2567</v>
      </c>
      <c r="E446" s="14">
        <v>33519</v>
      </c>
    </row>
    <row r="447" spans="1:5">
      <c r="A447" s="1" t="s">
        <v>33</v>
      </c>
      <c r="B447" s="1" t="s">
        <v>34</v>
      </c>
      <c r="C447" s="13">
        <v>2024</v>
      </c>
      <c r="D447" s="13">
        <f>TouristNumber[[#This Row],[Year]]+543</f>
        <v>2567</v>
      </c>
      <c r="E447" s="14">
        <v>16790</v>
      </c>
    </row>
    <row r="448" spans="1:5">
      <c r="A448" s="1" t="s">
        <v>33</v>
      </c>
      <c r="B448" s="1" t="s">
        <v>79</v>
      </c>
      <c r="C448" s="13">
        <v>2024</v>
      </c>
      <c r="D448" s="13">
        <f>TouristNumber[[#This Row],[Year]]+543</f>
        <v>2567</v>
      </c>
      <c r="E448" s="14">
        <v>5637</v>
      </c>
    </row>
    <row r="449" spans="1:5">
      <c r="A449" s="1" t="s">
        <v>33</v>
      </c>
      <c r="B449" s="1" t="s">
        <v>80</v>
      </c>
      <c r="C449" s="13">
        <v>2024</v>
      </c>
      <c r="D449" s="13">
        <f>TouristNumber[[#This Row],[Year]]+543</f>
        <v>2567</v>
      </c>
      <c r="E449" s="14">
        <v>18432</v>
      </c>
    </row>
    <row r="450" spans="1:5">
      <c r="A450" s="1" t="s">
        <v>33</v>
      </c>
      <c r="B450" s="1" t="s">
        <v>35</v>
      </c>
      <c r="C450" s="13">
        <v>2024</v>
      </c>
      <c r="D450" s="13">
        <f>TouristNumber[[#This Row],[Year]]+543</f>
        <v>2567</v>
      </c>
      <c r="E450" s="14">
        <v>90949</v>
      </c>
    </row>
    <row r="451" spans="1:5">
      <c r="A451" s="1" t="s">
        <v>33</v>
      </c>
      <c r="B451" s="1" t="s">
        <v>81</v>
      </c>
      <c r="C451" s="13">
        <v>2024</v>
      </c>
      <c r="D451" s="13">
        <f>TouristNumber[[#This Row],[Year]]+543</f>
        <v>2567</v>
      </c>
      <c r="E451" s="14">
        <v>5828</v>
      </c>
    </row>
    <row r="452" spans="1:5">
      <c r="A452" s="1" t="s">
        <v>33</v>
      </c>
      <c r="B452" s="1" t="s">
        <v>82</v>
      </c>
      <c r="C452" s="13">
        <v>2024</v>
      </c>
      <c r="D452" s="13">
        <f>TouristNumber[[#This Row],[Year]]+543</f>
        <v>2567</v>
      </c>
      <c r="E452" s="14">
        <v>110308</v>
      </c>
    </row>
    <row r="453" spans="1:5">
      <c r="A453" s="1" t="s">
        <v>33</v>
      </c>
      <c r="B453" s="1" t="s">
        <v>83</v>
      </c>
      <c r="C453" s="13">
        <v>2024</v>
      </c>
      <c r="D453" s="13">
        <f>TouristNumber[[#This Row],[Year]]+543</f>
        <v>2567</v>
      </c>
      <c r="E453" s="14">
        <v>43468</v>
      </c>
    </row>
    <row r="454" spans="1:5">
      <c r="A454" s="1" t="s">
        <v>33</v>
      </c>
      <c r="B454" s="1" t="s">
        <v>36</v>
      </c>
      <c r="C454" s="13">
        <v>2024</v>
      </c>
      <c r="D454" s="13">
        <f>TouristNumber[[#This Row],[Year]]+543</f>
        <v>2567</v>
      </c>
      <c r="E454" s="14">
        <v>228032</v>
      </c>
    </row>
    <row r="455" spans="1:5">
      <c r="A455" s="1" t="s">
        <v>33</v>
      </c>
      <c r="B455" s="1" t="s">
        <v>37</v>
      </c>
      <c r="C455" s="13">
        <v>2024</v>
      </c>
      <c r="D455" s="13">
        <f>TouristNumber[[#This Row],[Year]]+543</f>
        <v>2567</v>
      </c>
      <c r="E455" s="14">
        <v>169927</v>
      </c>
    </row>
    <row r="456" spans="1:5">
      <c r="A456" s="1" t="s">
        <v>33</v>
      </c>
      <c r="B456" s="1" t="s">
        <v>84</v>
      </c>
      <c r="C456" s="13">
        <v>2024</v>
      </c>
      <c r="D456" s="13">
        <f>TouristNumber[[#This Row],[Year]]+543</f>
        <v>2567</v>
      </c>
      <c r="E456" s="14">
        <v>10392</v>
      </c>
    </row>
    <row r="457" spans="1:5">
      <c r="A457" s="1" t="s">
        <v>33</v>
      </c>
      <c r="B457" s="1" t="s">
        <v>38</v>
      </c>
      <c r="C457" s="13">
        <v>2024</v>
      </c>
      <c r="D457" s="13">
        <f>TouristNumber[[#This Row],[Year]]+543</f>
        <v>2567</v>
      </c>
      <c r="E457" s="14">
        <v>8927</v>
      </c>
    </row>
    <row r="458" spans="1:5">
      <c r="A458" s="1" t="s">
        <v>39</v>
      </c>
      <c r="B458" s="1" t="s">
        <v>40</v>
      </c>
      <c r="C458" s="13">
        <v>2024</v>
      </c>
      <c r="D458" s="13">
        <f>TouristNumber[[#This Row],[Year]]+543</f>
        <v>2567</v>
      </c>
      <c r="E458" s="14">
        <v>138278</v>
      </c>
    </row>
    <row r="459" spans="1:5">
      <c r="A459" s="1" t="s">
        <v>39</v>
      </c>
      <c r="B459" s="1" t="s">
        <v>41</v>
      </c>
      <c r="C459" s="13">
        <v>2024</v>
      </c>
      <c r="D459" s="13">
        <f>TouristNumber[[#This Row],[Year]]+543</f>
        <v>2567</v>
      </c>
      <c r="E459" s="14">
        <v>87528</v>
      </c>
    </row>
    <row r="460" spans="1:5">
      <c r="A460" s="1" t="s">
        <v>39</v>
      </c>
      <c r="B460" s="1" t="s">
        <v>85</v>
      </c>
      <c r="C460" s="13">
        <v>2024</v>
      </c>
      <c r="D460" s="13">
        <f>TouristNumber[[#This Row],[Year]]+543</f>
        <v>2567</v>
      </c>
      <c r="E460" s="14">
        <v>4678</v>
      </c>
    </row>
    <row r="461" spans="1:5">
      <c r="A461" s="1" t="s">
        <v>39</v>
      </c>
      <c r="B461" s="1" t="s">
        <v>86</v>
      </c>
      <c r="C461" s="13">
        <v>2024</v>
      </c>
      <c r="D461" s="13">
        <f>TouristNumber[[#This Row],[Year]]+543</f>
        <v>2567</v>
      </c>
      <c r="E461" s="14">
        <v>80350</v>
      </c>
    </row>
    <row r="462" spans="1:5">
      <c r="A462" s="1" t="s">
        <v>39</v>
      </c>
      <c r="B462" s="1" t="s">
        <v>42</v>
      </c>
      <c r="C462" s="13">
        <v>2024</v>
      </c>
      <c r="D462" s="13">
        <f>TouristNumber[[#This Row],[Year]]+543</f>
        <v>2567</v>
      </c>
      <c r="E462" s="14">
        <v>109731</v>
      </c>
    </row>
    <row r="463" spans="1:5">
      <c r="A463" s="1" t="s">
        <v>39</v>
      </c>
      <c r="B463" s="1" t="s">
        <v>43</v>
      </c>
      <c r="C463" s="13">
        <v>2024</v>
      </c>
      <c r="D463" s="13">
        <f>TouristNumber[[#This Row],[Year]]+543</f>
        <v>2567</v>
      </c>
      <c r="E463" s="14">
        <v>212523</v>
      </c>
    </row>
    <row r="464" spans="1:5">
      <c r="A464" s="1" t="s">
        <v>39</v>
      </c>
      <c r="B464" s="1" t="s">
        <v>44</v>
      </c>
      <c r="C464" s="13">
        <v>2024</v>
      </c>
      <c r="D464" s="13">
        <f>TouristNumber[[#This Row],[Year]]+543</f>
        <v>2567</v>
      </c>
      <c r="E464" s="14">
        <v>965862</v>
      </c>
    </row>
    <row r="465" spans="1:5">
      <c r="A465" s="1" t="s">
        <v>45</v>
      </c>
      <c r="B465" s="1" t="s">
        <v>46</v>
      </c>
      <c r="C465" s="13">
        <v>2024</v>
      </c>
      <c r="D465" s="13">
        <f>TouristNumber[[#This Row],[Year]]+543</f>
        <v>2567</v>
      </c>
      <c r="E465" s="14">
        <v>107074</v>
      </c>
    </row>
    <row r="466" spans="1:5">
      <c r="A466" s="1" t="s">
        <v>45</v>
      </c>
      <c r="B466" s="1" t="s">
        <v>47</v>
      </c>
      <c r="C466" s="13">
        <v>2024</v>
      </c>
      <c r="D466" s="13">
        <f>TouristNumber[[#This Row],[Year]]+543</f>
        <v>2567</v>
      </c>
      <c r="E466" s="14">
        <v>108046</v>
      </c>
    </row>
    <row r="467" spans="1:5">
      <c r="A467" s="1" t="s">
        <v>45</v>
      </c>
      <c r="B467" s="1" t="s">
        <v>48</v>
      </c>
      <c r="C467" s="13">
        <v>2024</v>
      </c>
      <c r="D467" s="13">
        <f>TouristNumber[[#This Row],[Year]]+543</f>
        <v>2567</v>
      </c>
      <c r="E467" s="14">
        <v>720806</v>
      </c>
    </row>
    <row r="468" spans="1:5">
      <c r="A468" s="1" t="s">
        <v>45</v>
      </c>
      <c r="B468" s="1" t="s">
        <v>49</v>
      </c>
      <c r="C468" s="13">
        <v>2024</v>
      </c>
      <c r="D468" s="13">
        <f>TouristNumber[[#This Row],[Year]]+543</f>
        <v>2567</v>
      </c>
      <c r="E468" s="14">
        <v>873364</v>
      </c>
    </row>
    <row r="469" spans="1:5">
      <c r="A469" s="1" t="s">
        <v>45</v>
      </c>
      <c r="B469" s="1" t="s">
        <v>87</v>
      </c>
      <c r="C469" s="13">
        <v>2024</v>
      </c>
      <c r="D469" s="13">
        <f>TouristNumber[[#This Row],[Year]]+543</f>
        <v>2567</v>
      </c>
      <c r="E469" s="14">
        <v>5898</v>
      </c>
    </row>
    <row r="470" spans="1:5">
      <c r="A470" s="1" t="s">
        <v>45</v>
      </c>
      <c r="B470" s="1" t="s">
        <v>50</v>
      </c>
      <c r="C470" s="13">
        <v>2024</v>
      </c>
      <c r="D470" s="13">
        <f>TouristNumber[[#This Row],[Year]]+543</f>
        <v>2567</v>
      </c>
      <c r="E470" s="14">
        <v>261467</v>
      </c>
    </row>
    <row r="471" spans="1:5">
      <c r="A471" s="1" t="s">
        <v>45</v>
      </c>
      <c r="B471" s="1" t="s">
        <v>51</v>
      </c>
      <c r="C471" s="13">
        <v>2024</v>
      </c>
      <c r="D471" s="13">
        <f>TouristNumber[[#This Row],[Year]]+543</f>
        <v>2567</v>
      </c>
      <c r="E471" s="14">
        <v>184046</v>
      </c>
    </row>
    <row r="472" spans="1:5">
      <c r="A472" s="1" t="s">
        <v>52</v>
      </c>
      <c r="B472" s="1" t="s">
        <v>88</v>
      </c>
      <c r="C472" s="13">
        <v>2024</v>
      </c>
      <c r="D472" s="13">
        <f>TouristNumber[[#This Row],[Year]]+543</f>
        <v>2567</v>
      </c>
      <c r="E472" s="14">
        <v>20564</v>
      </c>
    </row>
    <row r="473" spans="1:5">
      <c r="A473" s="1" t="s">
        <v>52</v>
      </c>
      <c r="B473" s="1" t="s">
        <v>89</v>
      </c>
      <c r="C473" s="13">
        <v>2024</v>
      </c>
      <c r="D473" s="13">
        <f>TouristNumber[[#This Row],[Year]]+543</f>
        <v>2567</v>
      </c>
      <c r="E473" s="14">
        <v>17259</v>
      </c>
    </row>
    <row r="474" spans="1:5">
      <c r="A474" s="1" t="s">
        <v>52</v>
      </c>
      <c r="B474" s="1" t="s">
        <v>90</v>
      </c>
      <c r="C474" s="13">
        <v>2024</v>
      </c>
      <c r="D474" s="13">
        <f>TouristNumber[[#This Row],[Year]]+543</f>
        <v>2567</v>
      </c>
      <c r="E474" s="14">
        <v>59615</v>
      </c>
    </row>
    <row r="475" spans="1:5">
      <c r="A475" s="1" t="s">
        <v>52</v>
      </c>
      <c r="B475" s="1" t="s">
        <v>91</v>
      </c>
      <c r="C475" s="13">
        <v>2024</v>
      </c>
      <c r="D475" s="13">
        <f>TouristNumber[[#This Row],[Year]]+543</f>
        <v>2567</v>
      </c>
      <c r="E475" s="14">
        <v>17293</v>
      </c>
    </row>
    <row r="476" spans="1:5">
      <c r="A476" s="1" t="s">
        <v>52</v>
      </c>
      <c r="B476" s="1" t="s">
        <v>92</v>
      </c>
      <c r="C476" s="13">
        <v>2024</v>
      </c>
      <c r="D476" s="13">
        <f>TouristNumber[[#This Row],[Year]]+543</f>
        <v>2567</v>
      </c>
      <c r="E476" s="14">
        <v>36945</v>
      </c>
    </row>
    <row r="477" spans="1:5">
      <c r="A477" s="1" t="s">
        <v>52</v>
      </c>
      <c r="B477" s="1" t="s">
        <v>93</v>
      </c>
      <c r="C477" s="13">
        <v>2024</v>
      </c>
      <c r="D477" s="13">
        <f>TouristNumber[[#This Row],[Year]]+543</f>
        <v>2567</v>
      </c>
      <c r="E477" s="14">
        <v>195089</v>
      </c>
    </row>
    <row r="478" spans="1:5">
      <c r="A478" s="1" t="s">
        <v>52</v>
      </c>
      <c r="B478" s="1" t="s">
        <v>94</v>
      </c>
      <c r="C478" s="13">
        <v>2024</v>
      </c>
      <c r="D478" s="13">
        <f>TouristNumber[[#This Row],[Year]]+543</f>
        <v>2567</v>
      </c>
      <c r="E478" s="14">
        <v>12007</v>
      </c>
    </row>
    <row r="479" spans="1:5">
      <c r="A479" s="1" t="s">
        <v>52</v>
      </c>
      <c r="B479" s="1" t="s">
        <v>95</v>
      </c>
      <c r="C479" s="13">
        <v>2024</v>
      </c>
      <c r="D479" s="13">
        <f>TouristNumber[[#This Row],[Year]]+543</f>
        <v>2567</v>
      </c>
      <c r="E479" s="14">
        <v>11369</v>
      </c>
    </row>
    <row r="480" spans="1:5">
      <c r="A480" s="1" t="s">
        <v>52</v>
      </c>
      <c r="B480" s="1" t="s">
        <v>96</v>
      </c>
      <c r="C480" s="13">
        <v>2024</v>
      </c>
      <c r="D480" s="13">
        <f>TouristNumber[[#This Row],[Year]]+543</f>
        <v>2567</v>
      </c>
      <c r="E480" s="14">
        <v>23481</v>
      </c>
    </row>
    <row r="481" spans="1:5">
      <c r="A481" s="1" t="s">
        <v>52</v>
      </c>
      <c r="B481" s="1" t="s">
        <v>97</v>
      </c>
      <c r="C481" s="13">
        <v>2024</v>
      </c>
      <c r="D481" s="13">
        <f>TouristNumber[[#This Row],[Year]]+543</f>
        <v>2567</v>
      </c>
      <c r="E481" s="14">
        <v>180722</v>
      </c>
    </row>
    <row r="482" spans="1:5">
      <c r="A482" s="1" t="s">
        <v>52</v>
      </c>
      <c r="B482" s="1" t="s">
        <v>98</v>
      </c>
      <c r="C482" s="13">
        <v>2024</v>
      </c>
      <c r="D482" s="13">
        <f>TouristNumber[[#This Row],[Year]]+543</f>
        <v>2567</v>
      </c>
      <c r="E482" s="14">
        <v>45097</v>
      </c>
    </row>
    <row r="483" spans="1:5">
      <c r="A483" s="1" t="s">
        <v>52</v>
      </c>
      <c r="B483" s="1" t="s">
        <v>53</v>
      </c>
      <c r="C483" s="13">
        <v>2024</v>
      </c>
      <c r="D483" s="13">
        <f>TouristNumber[[#This Row],[Year]]+543</f>
        <v>2567</v>
      </c>
      <c r="E483" s="14">
        <v>1745327</v>
      </c>
    </row>
    <row r="484" spans="1:5">
      <c r="A484" s="1" t="s">
        <v>52</v>
      </c>
      <c r="B484" s="1" t="s">
        <v>99</v>
      </c>
      <c r="C484" s="13">
        <v>2024</v>
      </c>
      <c r="D484" s="13">
        <f>TouristNumber[[#This Row],[Year]]+543</f>
        <v>2567</v>
      </c>
      <c r="E484" s="14">
        <v>28909</v>
      </c>
    </row>
    <row r="485" spans="1:5">
      <c r="A485" s="1" t="s">
        <v>52</v>
      </c>
      <c r="B485" s="1" t="s">
        <v>100</v>
      </c>
      <c r="C485" s="13">
        <v>2024</v>
      </c>
      <c r="D485" s="13">
        <f>TouristNumber[[#This Row],[Year]]+543</f>
        <v>2567</v>
      </c>
      <c r="E485" s="14">
        <v>44956</v>
      </c>
    </row>
    <row r="486" spans="1:5">
      <c r="A486" s="1" t="s">
        <v>52</v>
      </c>
      <c r="B486" s="1" t="s">
        <v>101</v>
      </c>
      <c r="C486" s="13">
        <v>2024</v>
      </c>
      <c r="D486" s="13">
        <f>TouristNumber[[#This Row],[Year]]+543</f>
        <v>2567</v>
      </c>
      <c r="E486" s="14">
        <v>45346</v>
      </c>
    </row>
    <row r="487" spans="1:5">
      <c r="A487" s="1" t="s">
        <v>55</v>
      </c>
      <c r="B487" s="1" t="s">
        <v>102</v>
      </c>
      <c r="C487" s="13">
        <v>2024</v>
      </c>
      <c r="D487" s="13">
        <f>TouristNumber[[#This Row],[Year]]+543</f>
        <v>2567</v>
      </c>
      <c r="E487" s="14">
        <v>9956</v>
      </c>
    </row>
    <row r="488" spans="1:5">
      <c r="A488" s="1" t="s">
        <v>55</v>
      </c>
      <c r="B488" s="1" t="s">
        <v>103</v>
      </c>
      <c r="C488" s="13">
        <v>2024</v>
      </c>
      <c r="D488" s="13">
        <f>TouristNumber[[#This Row],[Year]]+543</f>
        <v>2567</v>
      </c>
      <c r="E488" s="14">
        <v>3942</v>
      </c>
    </row>
    <row r="489" spans="1:5">
      <c r="A489" s="1" t="s">
        <v>55</v>
      </c>
      <c r="B489" s="1" t="s">
        <v>104</v>
      </c>
      <c r="C489" s="13">
        <v>2024</v>
      </c>
      <c r="D489" s="13">
        <f>TouristNumber[[#This Row],[Year]]+543</f>
        <v>2567</v>
      </c>
      <c r="E489" s="14">
        <v>20637</v>
      </c>
    </row>
    <row r="490" spans="1:5">
      <c r="A490" s="1" t="s">
        <v>33</v>
      </c>
      <c r="B490" s="1" t="s">
        <v>54</v>
      </c>
      <c r="C490" s="13">
        <v>2024</v>
      </c>
      <c r="D490" s="13">
        <f>TouristNumber[[#This Row],[Year]]+543</f>
        <v>2567</v>
      </c>
      <c r="E490" s="14">
        <v>281803</v>
      </c>
    </row>
    <row r="491" spans="1:5">
      <c r="A491" s="1" t="s">
        <v>55</v>
      </c>
      <c r="B491" s="1" t="s">
        <v>56</v>
      </c>
      <c r="C491" s="13">
        <v>2024</v>
      </c>
      <c r="D491" s="13">
        <f>TouristNumber[[#This Row],[Year]]+543</f>
        <v>2567</v>
      </c>
      <c r="E491" s="14">
        <v>267474</v>
      </c>
    </row>
    <row r="492" spans="1:5">
      <c r="A492" s="1" t="s">
        <v>55</v>
      </c>
      <c r="B492" s="1" t="s">
        <v>105</v>
      </c>
      <c r="C492" s="13">
        <v>2024</v>
      </c>
      <c r="D492" s="13">
        <f>TouristNumber[[#This Row],[Year]]+543</f>
        <v>2567</v>
      </c>
      <c r="E492" s="14">
        <v>54793</v>
      </c>
    </row>
    <row r="493" spans="1:5">
      <c r="A493" s="1" t="s">
        <v>55</v>
      </c>
      <c r="B493" s="1" t="s">
        <v>106</v>
      </c>
      <c r="C493" s="13">
        <v>2024</v>
      </c>
      <c r="D493" s="13">
        <f>TouristNumber[[#This Row],[Year]]+543</f>
        <v>2567</v>
      </c>
      <c r="E493" s="14">
        <v>9727</v>
      </c>
    </row>
    <row r="494" spans="1:5">
      <c r="A494" s="1" t="s">
        <v>55</v>
      </c>
      <c r="B494" s="1" t="s">
        <v>107</v>
      </c>
      <c r="C494" s="13">
        <v>2024</v>
      </c>
      <c r="D494" s="13">
        <f>TouristNumber[[#This Row],[Year]]+543</f>
        <v>2567</v>
      </c>
      <c r="E494" s="14">
        <v>12126</v>
      </c>
    </row>
    <row r="495" spans="1:5">
      <c r="A495" s="1" t="s">
        <v>55</v>
      </c>
      <c r="B495" s="1" t="s">
        <v>57</v>
      </c>
      <c r="C495" s="13">
        <v>2024</v>
      </c>
      <c r="D495" s="13">
        <f>TouristNumber[[#This Row],[Year]]+543</f>
        <v>2567</v>
      </c>
      <c r="E495" s="14">
        <v>207710</v>
      </c>
    </row>
    <row r="496" spans="1:5">
      <c r="A496" s="1" t="s">
        <v>55</v>
      </c>
      <c r="B496" s="1" t="s">
        <v>108</v>
      </c>
      <c r="C496" s="13">
        <v>2024</v>
      </c>
      <c r="D496" s="13">
        <f>TouristNumber[[#This Row],[Year]]+543</f>
        <v>2567</v>
      </c>
      <c r="E496" s="14">
        <v>103692</v>
      </c>
    </row>
    <row r="497" spans="1:5">
      <c r="A497" s="1" t="s">
        <v>58</v>
      </c>
      <c r="B497" s="1" t="s">
        <v>60</v>
      </c>
      <c r="C497" s="13">
        <v>2024</v>
      </c>
      <c r="D497" s="13">
        <f>TouristNumber[[#This Row],[Year]]+543</f>
        <v>2567</v>
      </c>
      <c r="E497" s="14">
        <v>23332</v>
      </c>
    </row>
    <row r="498" spans="1:5">
      <c r="A498" s="1" t="s">
        <v>61</v>
      </c>
      <c r="B498" s="1" t="s">
        <v>62</v>
      </c>
      <c r="C498" s="13">
        <v>2024</v>
      </c>
      <c r="D498" s="13">
        <f>TouristNumber[[#This Row],[Year]]+543</f>
        <v>2567</v>
      </c>
      <c r="E498" s="14">
        <v>251336</v>
      </c>
    </row>
    <row r="499" spans="1:5">
      <c r="A499" s="1" t="s">
        <v>61</v>
      </c>
      <c r="B499" s="1" t="s">
        <v>109</v>
      </c>
      <c r="C499" s="13">
        <v>2024</v>
      </c>
      <c r="D499" s="13">
        <f>TouristNumber[[#This Row],[Year]]+543</f>
        <v>2567</v>
      </c>
      <c r="E499" s="14">
        <v>43813</v>
      </c>
    </row>
    <row r="500" spans="1:5">
      <c r="A500" s="1" t="s">
        <v>61</v>
      </c>
      <c r="B500" s="1" t="s">
        <v>63</v>
      </c>
      <c r="C500" s="13">
        <v>2024</v>
      </c>
      <c r="D500" s="13">
        <f>TouristNumber[[#This Row],[Year]]+543</f>
        <v>2567</v>
      </c>
      <c r="E500" s="14">
        <v>1030733</v>
      </c>
    </row>
    <row r="501" spans="1:5">
      <c r="A501" s="1" t="s">
        <v>61</v>
      </c>
      <c r="B501" s="1" t="s">
        <v>64</v>
      </c>
      <c r="C501" s="13">
        <v>2024</v>
      </c>
      <c r="D501" s="13">
        <f>TouristNumber[[#This Row],[Year]]+543</f>
        <v>2567</v>
      </c>
      <c r="E501" s="14">
        <v>23474</v>
      </c>
    </row>
    <row r="502" spans="1:5">
      <c r="A502" s="1" t="s">
        <v>61</v>
      </c>
      <c r="B502" s="1" t="s">
        <v>65</v>
      </c>
      <c r="C502" s="13">
        <v>2024</v>
      </c>
      <c r="D502" s="13">
        <f>TouristNumber[[#This Row],[Year]]+543</f>
        <v>2567</v>
      </c>
      <c r="E502" s="14">
        <v>63243</v>
      </c>
    </row>
    <row r="503" spans="1:5">
      <c r="A503" s="1" t="s">
        <v>61</v>
      </c>
      <c r="B503" s="1" t="s">
        <v>110</v>
      </c>
      <c r="C503" s="13">
        <v>2024</v>
      </c>
      <c r="D503" s="13">
        <f>TouristNumber[[#This Row],[Year]]+543</f>
        <v>2567</v>
      </c>
      <c r="E503" s="14">
        <v>17178</v>
      </c>
    </row>
    <row r="504" spans="1:5">
      <c r="A504" s="1" t="s">
        <v>61</v>
      </c>
      <c r="B504" s="1" t="s">
        <v>111</v>
      </c>
      <c r="C504" s="13">
        <v>2024</v>
      </c>
      <c r="D504" s="13">
        <f>TouristNumber[[#This Row],[Year]]+543</f>
        <v>2567</v>
      </c>
      <c r="E504" s="14">
        <v>17015</v>
      </c>
    </row>
    <row r="505" spans="1:5">
      <c r="A505" s="1" t="s">
        <v>61</v>
      </c>
      <c r="B505" s="1" t="s">
        <v>112</v>
      </c>
      <c r="C505" s="13">
        <v>2024</v>
      </c>
      <c r="D505" s="13">
        <f>TouristNumber[[#This Row],[Year]]+543</f>
        <v>2567</v>
      </c>
      <c r="E505" s="14">
        <v>8344</v>
      </c>
    </row>
    <row r="506" spans="1:5">
      <c r="A506" s="1" t="s">
        <v>61</v>
      </c>
      <c r="B506" s="1" t="s">
        <v>113</v>
      </c>
      <c r="C506" s="13">
        <v>2024</v>
      </c>
      <c r="D506" s="13">
        <f>TouristNumber[[#This Row],[Year]]+543</f>
        <v>2567</v>
      </c>
      <c r="E506" s="14">
        <v>3067</v>
      </c>
    </row>
    <row r="507" spans="1:5">
      <c r="A507" s="1" t="s">
        <v>61</v>
      </c>
      <c r="B507" s="1" t="s">
        <v>66</v>
      </c>
      <c r="C507" s="13">
        <v>2024</v>
      </c>
      <c r="D507" s="13">
        <f>TouristNumber[[#This Row],[Year]]+543</f>
        <v>2567</v>
      </c>
      <c r="E507" s="14">
        <v>18875</v>
      </c>
    </row>
    <row r="508" spans="1:5">
      <c r="A508" s="1" t="s">
        <v>67</v>
      </c>
      <c r="B508" s="1" t="s">
        <v>114</v>
      </c>
      <c r="C508" s="13">
        <v>2024</v>
      </c>
      <c r="D508" s="13">
        <f>TouristNumber[[#This Row],[Year]]+543</f>
        <v>2567</v>
      </c>
      <c r="E508" s="14">
        <v>19996</v>
      </c>
    </row>
    <row r="509" spans="1:5">
      <c r="A509" s="1" t="s">
        <v>67</v>
      </c>
      <c r="B509" s="1" t="s">
        <v>68</v>
      </c>
      <c r="C509" s="13">
        <v>2024</v>
      </c>
      <c r="D509" s="13">
        <f>TouristNumber[[#This Row],[Year]]+543</f>
        <v>2567</v>
      </c>
      <c r="E509" s="14">
        <v>67928</v>
      </c>
    </row>
    <row r="510" spans="1:5">
      <c r="A510" s="1" t="s">
        <v>67</v>
      </c>
      <c r="B510" s="1" t="s">
        <v>115</v>
      </c>
      <c r="C510" s="13">
        <v>2024</v>
      </c>
      <c r="D510" s="13">
        <f>TouristNumber[[#This Row],[Year]]+543</f>
        <v>2567</v>
      </c>
      <c r="E510" s="14">
        <v>18245</v>
      </c>
    </row>
    <row r="511" spans="1:5">
      <c r="A511" s="1" t="s">
        <v>67</v>
      </c>
      <c r="B511" s="1" t="s">
        <v>116</v>
      </c>
      <c r="C511" s="13">
        <v>2024</v>
      </c>
      <c r="D511" s="13">
        <f>TouristNumber[[#This Row],[Year]]+543</f>
        <v>2567</v>
      </c>
      <c r="E511" s="14">
        <v>7075</v>
      </c>
    </row>
    <row r="512" spans="1:5">
      <c r="A512" s="1" t="s">
        <v>67</v>
      </c>
      <c r="B512" s="1" t="s">
        <v>117</v>
      </c>
      <c r="C512" s="13">
        <v>2024</v>
      </c>
      <c r="D512" s="13">
        <f>TouristNumber[[#This Row],[Year]]+543</f>
        <v>2567</v>
      </c>
      <c r="E512" s="14">
        <v>17774</v>
      </c>
    </row>
    <row r="513" spans="1:5">
      <c r="A513" s="1" t="s">
        <v>67</v>
      </c>
      <c r="B513" s="1" t="s">
        <v>69</v>
      </c>
      <c r="C513" s="13">
        <v>2024</v>
      </c>
      <c r="D513" s="13">
        <f>TouristNumber[[#This Row],[Year]]+543</f>
        <v>2567</v>
      </c>
      <c r="E513" s="14">
        <v>35969</v>
      </c>
    </row>
    <row r="514" spans="1:5">
      <c r="A514" s="12"/>
      <c r="B514" s="12"/>
      <c r="C514" s="13"/>
      <c r="D514" s="13"/>
      <c r="E514" s="13"/>
    </row>
    <row r="515" spans="1:5">
      <c r="A515" s="12"/>
      <c r="B515" s="12"/>
      <c r="C515" s="13"/>
      <c r="D515" s="13"/>
      <c r="E515" s="13"/>
    </row>
    <row r="516" spans="1:5">
      <c r="A516" s="12"/>
      <c r="B516" s="12"/>
      <c r="C516" s="13"/>
      <c r="D516" s="13"/>
      <c r="E516" s="13"/>
    </row>
    <row r="517" spans="1:5">
      <c r="A517" s="12"/>
      <c r="B517" s="12"/>
      <c r="C517" s="13"/>
      <c r="D517" s="13"/>
      <c r="E517" s="13"/>
    </row>
  </sheetData>
  <dataConsolidate link="1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2F2F-8E95-4DE1-91C4-ADE16CA6B2B1}">
  <dimension ref="A1:I415"/>
  <sheetViews>
    <sheetView tabSelected="1" topLeftCell="A2" workbookViewId="0">
      <selection activeCell="A416" sqref="A416"/>
    </sheetView>
  </sheetViews>
  <sheetFormatPr defaultRowHeight="14.5"/>
  <cols>
    <col min="1" max="1" width="17.1796875" bestFit="1" customWidth="1"/>
    <col min="2" max="2" width="15.1796875" bestFit="1" customWidth="1"/>
    <col min="5" max="5" width="14.26953125" customWidth="1"/>
    <col min="6" max="6" width="16.816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125</v>
      </c>
      <c r="F1" t="s">
        <v>124</v>
      </c>
      <c r="G1" t="s">
        <v>123</v>
      </c>
    </row>
    <row r="2" spans="1:9">
      <c r="A2" t="s">
        <v>5</v>
      </c>
      <c r="B2" t="s">
        <v>6</v>
      </c>
      <c r="C2">
        <v>2017</v>
      </c>
      <c r="D2">
        <f>TouristExpense[[#This Row],[Year]]+543</f>
        <v>2560</v>
      </c>
      <c r="E2" s="16">
        <v>904.77</v>
      </c>
      <c r="F2">
        <v>12.69</v>
      </c>
      <c r="G2" s="15">
        <f>TouristExpense[[#This Row],[Medical Expense]]/TouristExpense[[#This Row],[Total Expense]]</f>
        <v>1.4025663980901224E-2</v>
      </c>
      <c r="I2" s="18"/>
    </row>
    <row r="3" spans="1:9">
      <c r="A3" t="s">
        <v>5</v>
      </c>
      <c r="B3" t="s">
        <v>7</v>
      </c>
      <c r="C3">
        <v>2017</v>
      </c>
      <c r="D3">
        <f>TouristExpense[[#This Row],[Year]]+543</f>
        <v>2560</v>
      </c>
      <c r="E3" s="16">
        <v>31205.17</v>
      </c>
      <c r="F3">
        <v>3501.77</v>
      </c>
      <c r="G3" s="15">
        <f>TouristExpense[[#This Row],[Medical Expense]]/TouristExpense[[#This Row],[Total Expense]]</f>
        <v>0.11221762291312626</v>
      </c>
    </row>
    <row r="4" spans="1:9">
      <c r="A4" t="s">
        <v>5</v>
      </c>
      <c r="B4" t="s">
        <v>8</v>
      </c>
      <c r="C4">
        <v>2017</v>
      </c>
      <c r="D4">
        <f>TouristExpense[[#This Row],[Year]]+543</f>
        <v>2560</v>
      </c>
      <c r="E4" s="16">
        <v>18489.23</v>
      </c>
      <c r="F4">
        <v>100.27</v>
      </c>
      <c r="G4" s="15">
        <f>TouristExpense[[#This Row],[Medical Expense]]/TouristExpense[[#This Row],[Total Expense]]</f>
        <v>5.423157156896204E-3</v>
      </c>
    </row>
    <row r="5" spans="1:9">
      <c r="A5" t="s">
        <v>5</v>
      </c>
      <c r="B5" t="s">
        <v>9</v>
      </c>
      <c r="C5">
        <v>2017</v>
      </c>
      <c r="D5">
        <f>TouristExpense[[#This Row],[Year]]+543</f>
        <v>2560</v>
      </c>
      <c r="E5" s="16">
        <v>50135.28</v>
      </c>
      <c r="F5">
        <v>2509.56</v>
      </c>
      <c r="G5" s="15">
        <f>TouristExpense[[#This Row],[Medical Expense]]/TouristExpense[[#This Row],[Total Expense]]</f>
        <v>5.0055769111093024E-2</v>
      </c>
    </row>
    <row r="6" spans="1:9">
      <c r="A6" t="s">
        <v>5</v>
      </c>
      <c r="B6" t="s">
        <v>10</v>
      </c>
      <c r="C6">
        <v>2017</v>
      </c>
      <c r="D6">
        <f>TouristExpense[[#This Row],[Year]]+543</f>
        <v>2560</v>
      </c>
      <c r="E6" s="16">
        <v>95410.08</v>
      </c>
      <c r="F6">
        <v>496.75</v>
      </c>
      <c r="G6" s="15">
        <f>TouristExpense[[#This Row],[Medical Expense]]/TouristExpense[[#This Row],[Total Expense]]</f>
        <v>5.2064729429007924E-3</v>
      </c>
    </row>
    <row r="7" spans="1:9">
      <c r="A7" t="s">
        <v>5</v>
      </c>
      <c r="B7" t="s">
        <v>11</v>
      </c>
      <c r="C7">
        <v>2017</v>
      </c>
      <c r="D7">
        <f>TouristExpense[[#This Row],[Year]]+543</f>
        <v>2560</v>
      </c>
      <c r="E7" s="16">
        <v>16462.05</v>
      </c>
      <c r="F7">
        <v>2001.76</v>
      </c>
      <c r="G7" s="15">
        <f>TouristExpense[[#This Row],[Medical Expense]]/TouristExpense[[#This Row],[Total Expense]]</f>
        <v>0.12159846434678549</v>
      </c>
    </row>
    <row r="8" spans="1:9">
      <c r="A8" t="s">
        <v>5</v>
      </c>
      <c r="B8" t="s">
        <v>12</v>
      </c>
      <c r="C8">
        <v>2017</v>
      </c>
      <c r="D8">
        <f>TouristExpense[[#This Row],[Year]]+543</f>
        <v>2560</v>
      </c>
      <c r="E8" s="16">
        <v>13301.43</v>
      </c>
      <c r="F8">
        <v>128.80000000000001</v>
      </c>
      <c r="G8" s="15">
        <f>TouristExpense[[#This Row],[Medical Expense]]/TouristExpense[[#This Row],[Total Expense]]</f>
        <v>9.6831694035904425E-3</v>
      </c>
    </row>
    <row r="9" spans="1:9">
      <c r="A9" t="s">
        <v>5</v>
      </c>
      <c r="B9" t="s">
        <v>13</v>
      </c>
      <c r="C9">
        <v>2017</v>
      </c>
      <c r="D9">
        <f>TouristExpense[[#This Row],[Year]]+543</f>
        <v>2560</v>
      </c>
      <c r="E9" s="16">
        <v>43482.36</v>
      </c>
      <c r="F9">
        <v>58.959999999999994</v>
      </c>
      <c r="G9" s="15">
        <f>TouristExpense[[#This Row],[Medical Expense]]/TouristExpense[[#This Row],[Total Expense]]</f>
        <v>1.3559521608302767E-3</v>
      </c>
    </row>
    <row r="10" spans="1:9">
      <c r="A10" t="s">
        <v>5</v>
      </c>
      <c r="B10" t="s">
        <v>14</v>
      </c>
      <c r="C10">
        <v>2017</v>
      </c>
      <c r="D10">
        <f>TouristExpense[[#This Row],[Year]]+543</f>
        <v>2560</v>
      </c>
      <c r="E10" s="16">
        <v>29654.77</v>
      </c>
      <c r="F10">
        <v>287.40999999999997</v>
      </c>
      <c r="G10" s="15">
        <f>TouristExpense[[#This Row],[Medical Expense]]/TouristExpense[[#This Row],[Total Expense]]</f>
        <v>9.6918640744811033E-3</v>
      </c>
    </row>
    <row r="11" spans="1:9">
      <c r="A11" t="s">
        <v>15</v>
      </c>
      <c r="B11" t="s">
        <v>16</v>
      </c>
      <c r="C11">
        <v>2017</v>
      </c>
      <c r="D11">
        <f>TouristExpense[[#This Row],[Year]]+543</f>
        <v>2560</v>
      </c>
      <c r="E11" s="16">
        <v>520722.39</v>
      </c>
      <c r="F11">
        <v>4314.2000000000007</v>
      </c>
      <c r="G11" s="15">
        <f>TouristExpense[[#This Row],[Medical Expense]]/TouristExpense[[#This Row],[Total Expense]]</f>
        <v>8.2850288039275598E-3</v>
      </c>
    </row>
    <row r="12" spans="1:9">
      <c r="A12" t="s">
        <v>15</v>
      </c>
      <c r="B12" t="s">
        <v>17</v>
      </c>
      <c r="C12">
        <v>2017</v>
      </c>
      <c r="D12">
        <f>TouristExpense[[#This Row],[Year]]+543</f>
        <v>2560</v>
      </c>
      <c r="E12" s="16">
        <v>32917.300000000003</v>
      </c>
      <c r="F12">
        <v>140.47999999999999</v>
      </c>
      <c r="G12" s="15">
        <f>TouristExpense[[#This Row],[Medical Expense]]/TouristExpense[[#This Row],[Total Expense]]</f>
        <v>4.2676647234129155E-3</v>
      </c>
    </row>
    <row r="13" spans="1:9">
      <c r="A13" t="s">
        <v>15</v>
      </c>
      <c r="B13" t="s">
        <v>18</v>
      </c>
      <c r="C13">
        <v>2017</v>
      </c>
      <c r="D13">
        <f>TouristExpense[[#This Row],[Year]]+543</f>
        <v>2560</v>
      </c>
      <c r="E13" s="16">
        <v>66679.990000000005</v>
      </c>
      <c r="F13">
        <v>69.91</v>
      </c>
      <c r="G13" s="15">
        <f>TouristExpense[[#This Row],[Medical Expense]]/TouristExpense[[#This Row],[Total Expense]]</f>
        <v>1.0484404691722359E-3</v>
      </c>
    </row>
    <row r="14" spans="1:9">
      <c r="A14" t="s">
        <v>15</v>
      </c>
      <c r="B14" t="s">
        <v>19</v>
      </c>
      <c r="C14">
        <v>2017</v>
      </c>
      <c r="D14">
        <f>TouristExpense[[#This Row],[Year]]+543</f>
        <v>2560</v>
      </c>
      <c r="E14" s="16">
        <v>75506.73</v>
      </c>
      <c r="F14">
        <v>951.24</v>
      </c>
      <c r="G14" s="15">
        <f>TouristExpense[[#This Row],[Medical Expense]]/TouristExpense[[#This Row],[Total Expense]]</f>
        <v>1.2598082316635882E-2</v>
      </c>
    </row>
    <row r="15" spans="1:9">
      <c r="A15" t="s">
        <v>15</v>
      </c>
      <c r="B15" t="s">
        <v>20</v>
      </c>
      <c r="C15">
        <v>2017</v>
      </c>
      <c r="D15">
        <f>TouristExpense[[#This Row],[Year]]+543</f>
        <v>2560</v>
      </c>
      <c r="E15" s="16">
        <v>24936.34</v>
      </c>
      <c r="F15">
        <v>216.76999999999998</v>
      </c>
      <c r="G15" s="15">
        <f>TouristExpense[[#This Row],[Medical Expense]]/TouristExpense[[#This Row],[Total Expense]]</f>
        <v>8.6929356914446938E-3</v>
      </c>
    </row>
    <row r="16" spans="1:9">
      <c r="A16" t="s">
        <v>15</v>
      </c>
      <c r="B16" t="s">
        <v>21</v>
      </c>
      <c r="C16">
        <v>2017</v>
      </c>
      <c r="D16">
        <f>TouristExpense[[#This Row],[Year]]+543</f>
        <v>2560</v>
      </c>
      <c r="E16" s="16">
        <v>4430.8</v>
      </c>
      <c r="F16">
        <v>5.8599999999999994</v>
      </c>
      <c r="G16" s="15">
        <f>TouristExpense[[#This Row],[Medical Expense]]/TouristExpense[[#This Row],[Total Expense]]</f>
        <v>1.3225602599981942E-3</v>
      </c>
    </row>
    <row r="17" spans="1:7">
      <c r="A17" t="s">
        <v>22</v>
      </c>
      <c r="B17" t="s">
        <v>23</v>
      </c>
      <c r="C17">
        <v>2017</v>
      </c>
      <c r="D17">
        <f>TouristExpense[[#This Row],[Year]]+543</f>
        <v>2560</v>
      </c>
      <c r="E17" s="16">
        <v>6563.0700000000006</v>
      </c>
      <c r="F17">
        <v>444.37999999999994</v>
      </c>
      <c r="G17" s="15">
        <f>TouristExpense[[#This Row],[Medical Expense]]/TouristExpense[[#This Row],[Total Expense]]</f>
        <v>6.7709166594291978E-2</v>
      </c>
    </row>
    <row r="18" spans="1:7">
      <c r="A18" t="s">
        <v>22</v>
      </c>
      <c r="B18" t="s">
        <v>24</v>
      </c>
      <c r="C18">
        <v>2017</v>
      </c>
      <c r="D18">
        <f>TouristExpense[[#This Row],[Year]]+543</f>
        <v>2560</v>
      </c>
      <c r="E18" s="16">
        <v>54739.049999999988</v>
      </c>
      <c r="F18">
        <v>206.77</v>
      </c>
      <c r="G18" s="15">
        <f>TouristExpense[[#This Row],[Medical Expense]]/TouristExpense[[#This Row],[Total Expense]]</f>
        <v>3.7773764798621837E-3</v>
      </c>
    </row>
    <row r="19" spans="1:7">
      <c r="A19" t="s">
        <v>22</v>
      </c>
      <c r="B19" t="s">
        <v>25</v>
      </c>
      <c r="C19">
        <v>2017</v>
      </c>
      <c r="D19">
        <f>TouristExpense[[#This Row],[Year]]+543</f>
        <v>2560</v>
      </c>
      <c r="E19" s="16">
        <v>2294.39</v>
      </c>
      <c r="F19">
        <v>10.48</v>
      </c>
      <c r="G19" s="15">
        <f>TouristExpense[[#This Row],[Medical Expense]]/TouristExpense[[#This Row],[Total Expense]]</f>
        <v>4.5676628646394036E-3</v>
      </c>
    </row>
    <row r="20" spans="1:7">
      <c r="A20" t="s">
        <v>22</v>
      </c>
      <c r="B20" t="s">
        <v>26</v>
      </c>
      <c r="C20">
        <v>2017</v>
      </c>
      <c r="D20">
        <f>TouristExpense[[#This Row],[Year]]+543</f>
        <v>2560</v>
      </c>
      <c r="E20" s="16">
        <v>4390.67</v>
      </c>
      <c r="F20">
        <v>18.71</v>
      </c>
      <c r="G20" s="15">
        <f>TouristExpense[[#This Row],[Medical Expense]]/TouristExpense[[#This Row],[Total Expense]]</f>
        <v>4.261308638544915E-3</v>
      </c>
    </row>
    <row r="21" spans="1:7">
      <c r="A21" t="s">
        <v>22</v>
      </c>
      <c r="B21" t="s">
        <v>27</v>
      </c>
      <c r="C21">
        <v>2017</v>
      </c>
      <c r="D21">
        <f>TouristExpense[[#This Row],[Year]]+543</f>
        <v>2560</v>
      </c>
      <c r="E21" s="16">
        <v>2779.5200000000004</v>
      </c>
      <c r="F21">
        <v>19.240000000000002</v>
      </c>
      <c r="G21" s="15">
        <f>TouristExpense[[#This Row],[Medical Expense]]/TouristExpense[[#This Row],[Total Expense]]</f>
        <v>6.9220584849182592E-3</v>
      </c>
    </row>
    <row r="22" spans="1:7">
      <c r="A22" t="s">
        <v>22</v>
      </c>
      <c r="B22" t="s">
        <v>28</v>
      </c>
      <c r="C22">
        <v>2017</v>
      </c>
      <c r="D22">
        <f>TouristExpense[[#This Row],[Year]]+543</f>
        <v>2560</v>
      </c>
      <c r="E22" s="16">
        <v>2533.1799999999998</v>
      </c>
      <c r="F22">
        <v>13.67</v>
      </c>
      <c r="G22" s="15">
        <f>TouristExpense[[#This Row],[Medical Expense]]/TouristExpense[[#This Row],[Total Expense]]</f>
        <v>5.3963792545338278E-3</v>
      </c>
    </row>
    <row r="23" spans="1:7">
      <c r="A23" t="s">
        <v>29</v>
      </c>
      <c r="B23" t="s">
        <v>30</v>
      </c>
      <c r="C23">
        <v>2017</v>
      </c>
      <c r="D23">
        <f>TouristExpense[[#This Row],[Year]]+543</f>
        <v>2560</v>
      </c>
      <c r="E23" s="16">
        <v>65776.41</v>
      </c>
      <c r="F23">
        <v>1947.2300000000002</v>
      </c>
      <c r="G23" s="15">
        <f>TouristExpense[[#This Row],[Medical Expense]]/TouristExpense[[#This Row],[Total Expense]]</f>
        <v>2.9603774362267569E-2</v>
      </c>
    </row>
    <row r="24" spans="1:7">
      <c r="A24" t="s">
        <v>29</v>
      </c>
      <c r="B24" t="s">
        <v>31</v>
      </c>
      <c r="C24">
        <v>2017</v>
      </c>
      <c r="D24">
        <f>TouristExpense[[#This Row],[Year]]+543</f>
        <v>2560</v>
      </c>
      <c r="E24" s="16">
        <v>7541.65</v>
      </c>
      <c r="F24">
        <v>348.17999999999995</v>
      </c>
      <c r="G24" s="15">
        <f>TouristExpense[[#This Row],[Medical Expense]]/TouristExpense[[#This Row],[Total Expense]]</f>
        <v>4.6167615840035002E-2</v>
      </c>
    </row>
    <row r="25" spans="1:7">
      <c r="A25" t="s">
        <v>29</v>
      </c>
      <c r="B25" t="s">
        <v>32</v>
      </c>
      <c r="C25">
        <v>2017</v>
      </c>
      <c r="D25">
        <f>TouristExpense[[#This Row],[Year]]+543</f>
        <v>2560</v>
      </c>
      <c r="E25" s="16">
        <v>590.25</v>
      </c>
      <c r="F25">
        <v>10.17</v>
      </c>
      <c r="G25" s="15">
        <f>TouristExpense[[#This Row],[Medical Expense]]/TouristExpense[[#This Row],[Total Expense]]</f>
        <v>1.7229987293519693E-2</v>
      </c>
    </row>
    <row r="26" spans="1:7">
      <c r="A26" t="s">
        <v>33</v>
      </c>
      <c r="B26" t="s">
        <v>34</v>
      </c>
      <c r="C26">
        <v>2017</v>
      </c>
      <c r="D26">
        <f>TouristExpense[[#This Row],[Year]]+543</f>
        <v>2560</v>
      </c>
      <c r="E26" s="16">
        <v>1516.78</v>
      </c>
      <c r="F26">
        <v>0.19</v>
      </c>
      <c r="G26" s="15">
        <f>TouristExpense[[#This Row],[Medical Expense]]/TouristExpense[[#This Row],[Total Expense]]</f>
        <v>1.2526536478592808E-4</v>
      </c>
    </row>
    <row r="27" spans="1:7">
      <c r="A27" t="s">
        <v>33</v>
      </c>
      <c r="B27" t="s">
        <v>35</v>
      </c>
      <c r="C27">
        <v>2017</v>
      </c>
      <c r="D27">
        <f>TouristExpense[[#This Row],[Year]]+543</f>
        <v>2560</v>
      </c>
      <c r="E27" s="16">
        <v>8366.26</v>
      </c>
      <c r="F27">
        <v>200.11999999999998</v>
      </c>
      <c r="G27" s="15">
        <f>TouristExpense[[#This Row],[Medical Expense]]/TouristExpense[[#This Row],[Total Expense]]</f>
        <v>2.3919887739563432E-2</v>
      </c>
    </row>
    <row r="28" spans="1:7">
      <c r="A28" t="s">
        <v>33</v>
      </c>
      <c r="B28" t="s">
        <v>119</v>
      </c>
      <c r="C28">
        <v>2017</v>
      </c>
      <c r="D28">
        <f>TouristExpense[[#This Row],[Year]]+543</f>
        <v>2560</v>
      </c>
      <c r="E28" s="16">
        <v>3893.4</v>
      </c>
      <c r="F28">
        <v>31.65</v>
      </c>
      <c r="G28" s="15">
        <f>TouristExpense[[#This Row],[Medical Expense]]/TouristExpense[[#This Row],[Total Expense]]</f>
        <v>8.129141624287255E-3</v>
      </c>
    </row>
    <row r="29" spans="1:7">
      <c r="A29" t="s">
        <v>33</v>
      </c>
      <c r="B29" t="s">
        <v>37</v>
      </c>
      <c r="C29">
        <v>2017</v>
      </c>
      <c r="D29">
        <f>TouristExpense[[#This Row],[Year]]+543</f>
        <v>2560</v>
      </c>
      <c r="E29" s="16">
        <v>15090.230000000001</v>
      </c>
      <c r="F29">
        <v>909.77</v>
      </c>
      <c r="G29" s="15">
        <f>TouristExpense[[#This Row],[Medical Expense]]/TouristExpense[[#This Row],[Total Expense]]</f>
        <v>6.0288676845879748E-2</v>
      </c>
    </row>
    <row r="30" spans="1:7">
      <c r="A30" t="s">
        <v>33</v>
      </c>
      <c r="B30" t="s">
        <v>38</v>
      </c>
      <c r="C30">
        <v>2017</v>
      </c>
      <c r="D30">
        <f>TouristExpense[[#This Row],[Year]]+543</f>
        <v>2560</v>
      </c>
      <c r="E30" s="16">
        <v>27260.420000000002</v>
      </c>
      <c r="F30">
        <v>1621.25</v>
      </c>
      <c r="G30" s="15">
        <f>TouristExpense[[#This Row],[Medical Expense]]/TouristExpense[[#This Row],[Total Expense]]</f>
        <v>5.9472671367499105E-2</v>
      </c>
    </row>
    <row r="31" spans="1:7">
      <c r="A31" t="s">
        <v>39</v>
      </c>
      <c r="B31" t="s">
        <v>40</v>
      </c>
      <c r="C31">
        <v>2017</v>
      </c>
      <c r="D31">
        <f>TouristExpense[[#This Row],[Year]]+543</f>
        <v>2560</v>
      </c>
      <c r="E31" s="16">
        <v>13695.14</v>
      </c>
      <c r="F31">
        <v>169.05</v>
      </c>
      <c r="G31" s="15">
        <f>TouristExpense[[#This Row],[Medical Expense]]/TouristExpense[[#This Row],[Total Expense]]</f>
        <v>1.2343794952077892E-2</v>
      </c>
    </row>
    <row r="32" spans="1:7">
      <c r="A32" t="s">
        <v>39</v>
      </c>
      <c r="B32" t="s">
        <v>41</v>
      </c>
      <c r="C32">
        <v>2017</v>
      </c>
      <c r="D32">
        <f>TouristExpense[[#This Row],[Year]]+543</f>
        <v>2560</v>
      </c>
      <c r="E32" s="16">
        <v>12114.18</v>
      </c>
      <c r="F32">
        <v>40.32</v>
      </c>
      <c r="G32" s="15">
        <f>TouristExpense[[#This Row],[Medical Expense]]/TouristExpense[[#This Row],[Total Expense]]</f>
        <v>3.3283309311897295E-3</v>
      </c>
    </row>
    <row r="33" spans="1:7">
      <c r="A33" t="s">
        <v>39</v>
      </c>
      <c r="B33" t="s">
        <v>42</v>
      </c>
      <c r="C33">
        <v>2017</v>
      </c>
      <c r="D33">
        <f>TouristExpense[[#This Row],[Year]]+543</f>
        <v>2560</v>
      </c>
      <c r="E33" s="16">
        <v>11212.929999999998</v>
      </c>
      <c r="F33">
        <v>33.15</v>
      </c>
      <c r="G33" s="15">
        <f>TouristExpense[[#This Row],[Medical Expense]]/TouristExpense[[#This Row],[Total Expense]]</f>
        <v>2.9564083607050077E-3</v>
      </c>
    </row>
    <row r="34" spans="1:7">
      <c r="A34" t="s">
        <v>39</v>
      </c>
      <c r="B34" t="s">
        <v>43</v>
      </c>
      <c r="C34">
        <v>2017</v>
      </c>
      <c r="D34">
        <f>TouristExpense[[#This Row],[Year]]+543</f>
        <v>2560</v>
      </c>
      <c r="E34" s="16">
        <v>27642.23</v>
      </c>
      <c r="F34">
        <v>225.39000000000001</v>
      </c>
      <c r="G34" s="15">
        <f>TouristExpense[[#This Row],[Medical Expense]]/TouristExpense[[#This Row],[Total Expense]]</f>
        <v>8.1538283995176951E-3</v>
      </c>
    </row>
    <row r="35" spans="1:7">
      <c r="A35" t="s">
        <v>39</v>
      </c>
      <c r="B35" t="s">
        <v>44</v>
      </c>
      <c r="C35">
        <v>2017</v>
      </c>
      <c r="D35">
        <f>TouristExpense[[#This Row],[Year]]+543</f>
        <v>2560</v>
      </c>
      <c r="E35" s="16">
        <v>73992.490000000005</v>
      </c>
      <c r="F35">
        <v>1051.3499999999999</v>
      </c>
      <c r="G35" s="15">
        <f>TouristExpense[[#This Row],[Medical Expense]]/TouristExpense[[#This Row],[Total Expense]]</f>
        <v>1.4208874441176392E-2</v>
      </c>
    </row>
    <row r="36" spans="1:7">
      <c r="A36" t="s">
        <v>45</v>
      </c>
      <c r="B36" t="s">
        <v>46</v>
      </c>
      <c r="C36">
        <v>2017</v>
      </c>
      <c r="D36">
        <f>TouristExpense[[#This Row],[Year]]+543</f>
        <v>2560</v>
      </c>
      <c r="E36" s="16">
        <v>7983.119999999999</v>
      </c>
      <c r="F36">
        <v>257.41999999999996</v>
      </c>
      <c r="G36" s="15">
        <f>TouristExpense[[#This Row],[Medical Expense]]/TouristExpense[[#This Row],[Total Expense]]</f>
        <v>3.2245538085360112E-2</v>
      </c>
    </row>
    <row r="37" spans="1:7">
      <c r="A37" t="s">
        <v>45</v>
      </c>
      <c r="B37" t="s">
        <v>47</v>
      </c>
      <c r="C37">
        <v>2017</v>
      </c>
      <c r="D37">
        <f>TouristExpense[[#This Row],[Year]]+543</f>
        <v>2560</v>
      </c>
      <c r="E37" s="16">
        <v>7679.13</v>
      </c>
      <c r="F37">
        <v>44.160000000000004</v>
      </c>
      <c r="G37" s="15">
        <f>TouristExpense[[#This Row],[Medical Expense]]/TouristExpense[[#This Row],[Total Expense]]</f>
        <v>5.750651440983549E-3</v>
      </c>
    </row>
    <row r="38" spans="1:7">
      <c r="A38" t="s">
        <v>45</v>
      </c>
      <c r="B38" t="s">
        <v>48</v>
      </c>
      <c r="C38">
        <v>2017</v>
      </c>
      <c r="D38">
        <f>TouristExpense[[#This Row],[Year]]+543</f>
        <v>2560</v>
      </c>
      <c r="E38" s="16">
        <v>45510.240000000005</v>
      </c>
      <c r="F38">
        <v>712.30000000000007</v>
      </c>
      <c r="G38" s="15">
        <f>TouristExpense[[#This Row],[Medical Expense]]/TouristExpense[[#This Row],[Total Expense]]</f>
        <v>1.5651422624886179E-2</v>
      </c>
    </row>
    <row r="39" spans="1:7">
      <c r="A39" t="s">
        <v>45</v>
      </c>
      <c r="B39" t="s">
        <v>49</v>
      </c>
      <c r="C39">
        <v>2017</v>
      </c>
      <c r="D39">
        <f>TouristExpense[[#This Row],[Year]]+543</f>
        <v>2560</v>
      </c>
      <c r="E39" s="16">
        <v>53225.049999999988</v>
      </c>
      <c r="F39">
        <v>1058.2099999999998</v>
      </c>
      <c r="G39" s="15">
        <f>TouristExpense[[#This Row],[Medical Expense]]/TouristExpense[[#This Row],[Total Expense]]</f>
        <v>1.9881803774726373E-2</v>
      </c>
    </row>
    <row r="40" spans="1:7">
      <c r="A40" t="s">
        <v>45</v>
      </c>
      <c r="B40" t="s">
        <v>50</v>
      </c>
      <c r="C40">
        <v>2017</v>
      </c>
      <c r="D40">
        <f>TouristExpense[[#This Row],[Year]]+543</f>
        <v>2560</v>
      </c>
      <c r="E40" s="16">
        <v>15770.22</v>
      </c>
      <c r="F40">
        <v>66.100000000000009</v>
      </c>
      <c r="G40" s="15">
        <f>TouristExpense[[#This Row],[Medical Expense]]/TouristExpense[[#This Row],[Total Expense]]</f>
        <v>4.1914443806110513E-3</v>
      </c>
    </row>
    <row r="41" spans="1:7">
      <c r="A41" t="s">
        <v>45</v>
      </c>
      <c r="B41" t="s">
        <v>51</v>
      </c>
      <c r="C41">
        <v>2017</v>
      </c>
      <c r="D41">
        <f>TouristExpense[[#This Row],[Year]]+543</f>
        <v>2560</v>
      </c>
      <c r="E41" s="16">
        <v>17702.600000000002</v>
      </c>
      <c r="F41">
        <v>85.13</v>
      </c>
      <c r="G41" s="15">
        <f>TouristExpense[[#This Row],[Medical Expense]]/TouristExpense[[#This Row],[Total Expense]]</f>
        <v>4.8088981279586045E-3</v>
      </c>
    </row>
    <row r="42" spans="1:7">
      <c r="A42" t="s">
        <v>52</v>
      </c>
      <c r="B42" t="s">
        <v>53</v>
      </c>
      <c r="C42">
        <v>2017</v>
      </c>
      <c r="D42">
        <f>TouristExpense[[#This Row],[Year]]+543</f>
        <v>2560</v>
      </c>
      <c r="E42" s="16">
        <v>102657.51000000001</v>
      </c>
      <c r="F42">
        <v>956.77</v>
      </c>
      <c r="G42" s="15">
        <f>TouristExpense[[#This Row],[Medical Expense]]/TouristExpense[[#This Row],[Total Expense]]</f>
        <v>9.3200195484967434E-3</v>
      </c>
    </row>
    <row r="43" spans="1:7">
      <c r="A43" t="s">
        <v>33</v>
      </c>
      <c r="B43" t="s">
        <v>54</v>
      </c>
      <c r="C43">
        <v>2017</v>
      </c>
      <c r="D43">
        <f>TouristExpense[[#This Row],[Year]]+543</f>
        <v>2560</v>
      </c>
      <c r="E43" s="16">
        <v>16612.55</v>
      </c>
      <c r="F43">
        <v>37.230000000000004</v>
      </c>
      <c r="G43" s="15">
        <f>TouristExpense[[#This Row],[Medical Expense]]/TouristExpense[[#This Row],[Total Expense]]</f>
        <v>2.2410767762926225E-3</v>
      </c>
    </row>
    <row r="44" spans="1:7">
      <c r="A44" t="s">
        <v>55</v>
      </c>
      <c r="B44" t="s">
        <v>56</v>
      </c>
      <c r="C44">
        <v>2017</v>
      </c>
      <c r="D44">
        <f>TouristExpense[[#This Row],[Year]]+543</f>
        <v>2560</v>
      </c>
      <c r="E44" s="16">
        <v>15849.25</v>
      </c>
      <c r="F44">
        <v>102.59</v>
      </c>
      <c r="G44" s="15">
        <f>TouristExpense[[#This Row],[Medical Expense]]/TouristExpense[[#This Row],[Total Expense]]</f>
        <v>6.472861491868701E-3</v>
      </c>
    </row>
    <row r="45" spans="1:7">
      <c r="A45" t="s">
        <v>55</v>
      </c>
      <c r="B45" t="s">
        <v>57</v>
      </c>
      <c r="C45">
        <v>2017</v>
      </c>
      <c r="D45">
        <f>TouristExpense[[#This Row],[Year]]+543</f>
        <v>2560</v>
      </c>
      <c r="E45" s="16">
        <v>11547.32</v>
      </c>
      <c r="F45">
        <v>59.870000000000005</v>
      </c>
      <c r="G45" s="15">
        <f>TouristExpense[[#This Row],[Medical Expense]]/TouristExpense[[#This Row],[Total Expense]]</f>
        <v>5.1847528257639008E-3</v>
      </c>
    </row>
    <row r="46" spans="1:7">
      <c r="A46" t="s">
        <v>58</v>
      </c>
      <c r="B46" t="s">
        <v>59</v>
      </c>
      <c r="C46">
        <v>2017</v>
      </c>
      <c r="D46">
        <f>TouristExpense[[#This Row],[Year]]+543</f>
        <v>2560</v>
      </c>
      <c r="E46" s="16">
        <v>29866.87</v>
      </c>
      <c r="F46">
        <v>212.87000000000003</v>
      </c>
      <c r="G46" s="15">
        <f>TouristExpense[[#This Row],[Medical Expense]]/TouristExpense[[#This Row],[Total Expense]]</f>
        <v>7.1272952271195485E-3</v>
      </c>
    </row>
    <row r="47" spans="1:7">
      <c r="A47" t="s">
        <v>58</v>
      </c>
      <c r="B47" t="s">
        <v>60</v>
      </c>
      <c r="C47">
        <v>2017</v>
      </c>
      <c r="D47">
        <f>TouristExpense[[#This Row],[Year]]+543</f>
        <v>2560</v>
      </c>
      <c r="E47" s="16">
        <v>17154.71</v>
      </c>
      <c r="F47">
        <v>184.41999999999996</v>
      </c>
      <c r="G47" s="15">
        <f>TouristExpense[[#This Row],[Medical Expense]]/TouristExpense[[#This Row],[Total Expense]]</f>
        <v>1.0750400327373646E-2</v>
      </c>
    </row>
    <row r="48" spans="1:7">
      <c r="A48" t="s">
        <v>61</v>
      </c>
      <c r="B48" t="s">
        <v>62</v>
      </c>
      <c r="C48">
        <v>2017</v>
      </c>
      <c r="D48">
        <f>TouristExpense[[#This Row],[Year]]+543</f>
        <v>2560</v>
      </c>
      <c r="E48" s="16">
        <v>18350.43</v>
      </c>
      <c r="F48">
        <v>284.74</v>
      </c>
      <c r="G48" s="15">
        <f>TouristExpense[[#This Row],[Medical Expense]]/TouristExpense[[#This Row],[Total Expense]]</f>
        <v>1.5516802603535721E-2</v>
      </c>
    </row>
    <row r="49" spans="1:7">
      <c r="A49" t="s">
        <v>61</v>
      </c>
      <c r="B49" t="s">
        <v>63</v>
      </c>
      <c r="C49">
        <v>2017</v>
      </c>
      <c r="D49">
        <f>TouristExpense[[#This Row],[Year]]+543</f>
        <v>2560</v>
      </c>
      <c r="E49" s="16">
        <v>74307.22</v>
      </c>
      <c r="F49">
        <v>682.21999999999991</v>
      </c>
      <c r="G49" s="15">
        <f>TouristExpense[[#This Row],[Medical Expense]]/TouristExpense[[#This Row],[Total Expense]]</f>
        <v>9.1810728486410864E-3</v>
      </c>
    </row>
    <row r="50" spans="1:7">
      <c r="A50" t="s">
        <v>61</v>
      </c>
      <c r="B50" t="s">
        <v>64</v>
      </c>
      <c r="C50">
        <v>2017</v>
      </c>
      <c r="D50">
        <f>TouristExpense[[#This Row],[Year]]+543</f>
        <v>2560</v>
      </c>
      <c r="E50" s="16">
        <v>4624.4799999999996</v>
      </c>
      <c r="F50">
        <v>30.189999999999998</v>
      </c>
      <c r="G50" s="15">
        <f>TouristExpense[[#This Row],[Medical Expense]]/TouristExpense[[#This Row],[Total Expense]]</f>
        <v>6.5283015603916552E-3</v>
      </c>
    </row>
    <row r="51" spans="1:7">
      <c r="A51" t="s">
        <v>61</v>
      </c>
      <c r="B51" t="s">
        <v>65</v>
      </c>
      <c r="C51">
        <v>2017</v>
      </c>
      <c r="D51">
        <f>TouristExpense[[#This Row],[Year]]+543</f>
        <v>2560</v>
      </c>
      <c r="E51" s="16">
        <v>5609.3799999999992</v>
      </c>
      <c r="F51">
        <v>35.07</v>
      </c>
      <c r="G51" s="15">
        <f>TouristExpense[[#This Row],[Medical Expense]]/TouristExpense[[#This Row],[Total Expense]]</f>
        <v>6.252027853345647E-3</v>
      </c>
    </row>
    <row r="52" spans="1:7">
      <c r="A52" t="s">
        <v>61</v>
      </c>
      <c r="B52" t="s">
        <v>66</v>
      </c>
      <c r="C52">
        <v>2017</v>
      </c>
      <c r="D52">
        <f>TouristExpense[[#This Row],[Year]]+543</f>
        <v>2560</v>
      </c>
      <c r="E52" s="16">
        <v>6212.5999999999995</v>
      </c>
      <c r="F52">
        <v>17.399999999999999</v>
      </c>
      <c r="G52" s="15">
        <f>TouristExpense[[#This Row],[Medical Expense]]/TouristExpense[[#This Row],[Total Expense]]</f>
        <v>2.8007597463219906E-3</v>
      </c>
    </row>
    <row r="53" spans="1:7">
      <c r="A53" t="s">
        <v>67</v>
      </c>
      <c r="B53" t="s">
        <v>68</v>
      </c>
      <c r="C53">
        <v>2017</v>
      </c>
      <c r="D53">
        <f>TouristExpense[[#This Row],[Year]]+543</f>
        <v>2560</v>
      </c>
      <c r="E53" s="16">
        <v>6820.2199999999993</v>
      </c>
      <c r="F53">
        <v>37.319999999999993</v>
      </c>
      <c r="G53" s="15">
        <f>TouristExpense[[#This Row],[Medical Expense]]/TouristExpense[[#This Row],[Total Expense]]</f>
        <v>5.4719642474876174E-3</v>
      </c>
    </row>
    <row r="54" spans="1:7">
      <c r="A54" t="s">
        <v>67</v>
      </c>
      <c r="B54" t="s">
        <v>69</v>
      </c>
      <c r="C54">
        <v>2017</v>
      </c>
      <c r="D54">
        <f>TouristExpense[[#This Row],[Year]]+543</f>
        <v>2560</v>
      </c>
      <c r="E54" s="16">
        <v>7391.1500000000005</v>
      </c>
      <c r="F54">
        <v>267.65000000000003</v>
      </c>
      <c r="G54" s="15">
        <f>TouristExpense[[#This Row],[Medical Expense]]/TouristExpense[[#This Row],[Total Expense]]</f>
        <v>3.6212226784735804E-2</v>
      </c>
    </row>
    <row r="55" spans="1:7">
      <c r="A55" t="s">
        <v>5</v>
      </c>
      <c r="B55" t="s">
        <v>6</v>
      </c>
      <c r="C55">
        <v>2018</v>
      </c>
      <c r="D55">
        <f>TouristExpense[[#This Row],[Year]]+543</f>
        <v>2561</v>
      </c>
      <c r="E55" s="16">
        <v>845.2299999999999</v>
      </c>
      <c r="F55">
        <v>11.149999999999999</v>
      </c>
      <c r="G55" s="15">
        <f>TouristExpense[[#This Row],[Medical Expense]]/TouristExpense[[#This Row],[Total Expense]]</f>
        <v>1.319167563858358E-2</v>
      </c>
    </row>
    <row r="56" spans="1:7">
      <c r="A56" t="s">
        <v>5</v>
      </c>
      <c r="B56" t="s">
        <v>7</v>
      </c>
      <c r="C56">
        <v>2018</v>
      </c>
      <c r="D56">
        <f>TouristExpense[[#This Row],[Year]]+543</f>
        <v>2561</v>
      </c>
      <c r="E56" s="16">
        <v>36712.660000000003</v>
      </c>
      <c r="F56">
        <v>5678.19</v>
      </c>
      <c r="G56" s="15">
        <f>TouristExpense[[#This Row],[Medical Expense]]/TouristExpense[[#This Row],[Total Expense]]</f>
        <v>0.15466572021749442</v>
      </c>
    </row>
    <row r="57" spans="1:7">
      <c r="A57" t="s">
        <v>5</v>
      </c>
      <c r="B57" t="s">
        <v>8</v>
      </c>
      <c r="C57">
        <v>2018</v>
      </c>
      <c r="D57">
        <f>TouristExpense[[#This Row],[Year]]+543</f>
        <v>2561</v>
      </c>
      <c r="E57" s="16">
        <v>17368.72</v>
      </c>
      <c r="F57">
        <v>142.38</v>
      </c>
      <c r="G57" s="15">
        <f>TouristExpense[[#This Row],[Medical Expense]]/TouristExpense[[#This Row],[Total Expense]]</f>
        <v>8.1974952673541848E-3</v>
      </c>
    </row>
    <row r="58" spans="1:7">
      <c r="A58" t="s">
        <v>5</v>
      </c>
      <c r="B58" t="s">
        <v>9</v>
      </c>
      <c r="C58">
        <v>2018</v>
      </c>
      <c r="D58">
        <f>TouristExpense[[#This Row],[Year]]+543</f>
        <v>2561</v>
      </c>
      <c r="E58" s="16">
        <v>50339.81</v>
      </c>
      <c r="F58">
        <v>2943.46</v>
      </c>
      <c r="G58" s="15">
        <f>TouristExpense[[#This Row],[Medical Expense]]/TouristExpense[[#This Row],[Total Expense]]</f>
        <v>5.8471813858653819E-2</v>
      </c>
    </row>
    <row r="59" spans="1:7">
      <c r="A59" t="s">
        <v>5</v>
      </c>
      <c r="B59" t="s">
        <v>10</v>
      </c>
      <c r="C59">
        <v>2018</v>
      </c>
      <c r="D59">
        <f>TouristExpense[[#This Row],[Year]]+543</f>
        <v>2561</v>
      </c>
      <c r="E59" s="16">
        <v>104525.80999999998</v>
      </c>
      <c r="F59">
        <v>932.43999999999994</v>
      </c>
      <c r="G59" s="15">
        <f>TouristExpense[[#This Row],[Medical Expense]]/TouristExpense[[#This Row],[Total Expense]]</f>
        <v>8.9206675365634588E-3</v>
      </c>
    </row>
    <row r="60" spans="1:7">
      <c r="A60" t="s">
        <v>5</v>
      </c>
      <c r="B60" t="s">
        <v>11</v>
      </c>
      <c r="C60">
        <v>2018</v>
      </c>
      <c r="D60">
        <f>TouristExpense[[#This Row],[Year]]+543</f>
        <v>2561</v>
      </c>
      <c r="E60" s="16">
        <v>15234.090000000002</v>
      </c>
      <c r="F60">
        <v>2111.65</v>
      </c>
      <c r="G60" s="15">
        <f>TouristExpense[[#This Row],[Medical Expense]]/TouristExpense[[#This Row],[Total Expense]]</f>
        <v>0.13861346493292345</v>
      </c>
    </row>
    <row r="61" spans="1:7">
      <c r="A61" t="s">
        <v>5</v>
      </c>
      <c r="B61" t="s">
        <v>12</v>
      </c>
      <c r="C61">
        <v>2018</v>
      </c>
      <c r="D61">
        <f>TouristExpense[[#This Row],[Year]]+543</f>
        <v>2561</v>
      </c>
      <c r="E61" s="16">
        <v>16583.04</v>
      </c>
      <c r="F61">
        <v>145.82</v>
      </c>
      <c r="G61" s="15">
        <f>TouristExpense[[#This Row],[Medical Expense]]/TouristExpense[[#This Row],[Total Expense]]</f>
        <v>8.7933213693026126E-3</v>
      </c>
    </row>
    <row r="62" spans="1:7">
      <c r="A62" t="s">
        <v>5</v>
      </c>
      <c r="B62" t="s">
        <v>13</v>
      </c>
      <c r="C62">
        <v>2018</v>
      </c>
      <c r="D62">
        <f>TouristExpense[[#This Row],[Year]]+543</f>
        <v>2561</v>
      </c>
      <c r="E62" s="16">
        <v>42146.130000000005</v>
      </c>
      <c r="F62">
        <v>101.07000000000001</v>
      </c>
      <c r="G62" s="15">
        <f>TouristExpense[[#This Row],[Medical Expense]]/TouristExpense[[#This Row],[Total Expense]]</f>
        <v>2.3980849487248296E-3</v>
      </c>
    </row>
    <row r="63" spans="1:7">
      <c r="A63" t="s">
        <v>5</v>
      </c>
      <c r="B63" t="s">
        <v>14</v>
      </c>
      <c r="C63">
        <v>2018</v>
      </c>
      <c r="D63">
        <f>TouristExpense[[#This Row],[Year]]+543</f>
        <v>2561</v>
      </c>
      <c r="E63" s="16">
        <v>35061.420000000006</v>
      </c>
      <c r="F63">
        <v>368.39</v>
      </c>
      <c r="G63" s="15">
        <f>TouristExpense[[#This Row],[Medical Expense]]/TouristExpense[[#This Row],[Total Expense]]</f>
        <v>1.0506990304442887E-2</v>
      </c>
    </row>
    <row r="64" spans="1:7">
      <c r="A64" t="s">
        <v>15</v>
      </c>
      <c r="B64" t="s">
        <v>16</v>
      </c>
      <c r="C64">
        <v>2018</v>
      </c>
      <c r="D64">
        <f>TouristExpense[[#This Row],[Year]]+543</f>
        <v>2561</v>
      </c>
      <c r="E64" s="16">
        <v>522264.78</v>
      </c>
      <c r="F64">
        <v>4650.2</v>
      </c>
      <c r="G64" s="15">
        <f>TouristExpense[[#This Row],[Medical Expense]]/TouristExpense[[#This Row],[Total Expense]]</f>
        <v>8.9039126858219304E-3</v>
      </c>
    </row>
    <row r="65" spans="1:7">
      <c r="A65" t="s">
        <v>15</v>
      </c>
      <c r="B65" t="s">
        <v>17</v>
      </c>
      <c r="C65">
        <v>2018</v>
      </c>
      <c r="D65">
        <f>TouristExpense[[#This Row],[Year]]+543</f>
        <v>2561</v>
      </c>
      <c r="E65" s="16">
        <v>40265.440000000002</v>
      </c>
      <c r="F65">
        <v>423.27</v>
      </c>
      <c r="G65" s="15">
        <f>TouristExpense[[#This Row],[Medical Expense]]/TouristExpense[[#This Row],[Total Expense]]</f>
        <v>1.0511992418312081E-2</v>
      </c>
    </row>
    <row r="66" spans="1:7">
      <c r="A66" t="s">
        <v>15</v>
      </c>
      <c r="B66" t="s">
        <v>18</v>
      </c>
      <c r="C66">
        <v>2018</v>
      </c>
      <c r="D66">
        <f>TouristExpense[[#This Row],[Year]]+543</f>
        <v>2561</v>
      </c>
      <c r="E66" s="16">
        <v>80420.360000000015</v>
      </c>
      <c r="F66">
        <v>70.13</v>
      </c>
      <c r="G66" s="15">
        <f>TouristExpense[[#This Row],[Medical Expense]]/TouristExpense[[#This Row],[Total Expense]]</f>
        <v>8.7204285084025964E-4</v>
      </c>
    </row>
    <row r="67" spans="1:7">
      <c r="A67" t="s">
        <v>15</v>
      </c>
      <c r="B67" t="s">
        <v>19</v>
      </c>
      <c r="C67">
        <v>2018</v>
      </c>
      <c r="D67">
        <f>TouristExpense[[#This Row],[Year]]+543</f>
        <v>2561</v>
      </c>
      <c r="E67" s="16">
        <v>71158.500000000015</v>
      </c>
      <c r="F67">
        <v>1415.52</v>
      </c>
      <c r="G67" s="15">
        <f>TouristExpense[[#This Row],[Medical Expense]]/TouristExpense[[#This Row],[Total Expense]]</f>
        <v>1.9892493517991522E-2</v>
      </c>
    </row>
    <row r="68" spans="1:7">
      <c r="A68" t="s">
        <v>15</v>
      </c>
      <c r="B68" t="s">
        <v>20</v>
      </c>
      <c r="C68">
        <v>2018</v>
      </c>
      <c r="D68">
        <f>TouristExpense[[#This Row],[Year]]+543</f>
        <v>2561</v>
      </c>
      <c r="E68" s="16">
        <v>30953.75</v>
      </c>
      <c r="F68">
        <v>269.02</v>
      </c>
      <c r="G68" s="15">
        <f>TouristExpense[[#This Row],[Medical Expense]]/TouristExpense[[#This Row],[Total Expense]]</f>
        <v>8.6910309736300123E-3</v>
      </c>
    </row>
    <row r="69" spans="1:7">
      <c r="A69" t="s">
        <v>15</v>
      </c>
      <c r="B69" t="s">
        <v>21</v>
      </c>
      <c r="C69">
        <v>2018</v>
      </c>
      <c r="D69">
        <f>TouristExpense[[#This Row],[Year]]+543</f>
        <v>2561</v>
      </c>
      <c r="E69" s="16">
        <v>5092.13</v>
      </c>
      <c r="F69">
        <v>5.67</v>
      </c>
      <c r="G69" s="15">
        <f>TouristExpense[[#This Row],[Medical Expense]]/TouristExpense[[#This Row],[Total Expense]]</f>
        <v>1.1134829629251414E-3</v>
      </c>
    </row>
    <row r="70" spans="1:7">
      <c r="A70" t="s">
        <v>22</v>
      </c>
      <c r="B70" t="s">
        <v>23</v>
      </c>
      <c r="C70">
        <v>2018</v>
      </c>
      <c r="D70">
        <f>TouristExpense[[#This Row],[Year]]+543</f>
        <v>2561</v>
      </c>
      <c r="E70" s="16">
        <v>6486.2699999999995</v>
      </c>
      <c r="F70">
        <v>540.41</v>
      </c>
      <c r="G70" s="15">
        <f>TouristExpense[[#This Row],[Medical Expense]]/TouristExpense[[#This Row],[Total Expense]]</f>
        <v>8.3315989004466365E-2</v>
      </c>
    </row>
    <row r="71" spans="1:7">
      <c r="A71" t="s">
        <v>22</v>
      </c>
      <c r="B71" t="s">
        <v>24</v>
      </c>
      <c r="C71">
        <v>2018</v>
      </c>
      <c r="D71">
        <f>TouristExpense[[#This Row],[Year]]+543</f>
        <v>2561</v>
      </c>
      <c r="E71" s="16">
        <v>66723.28</v>
      </c>
      <c r="F71">
        <v>497.65000000000003</v>
      </c>
      <c r="G71" s="15">
        <f>TouristExpense[[#This Row],[Medical Expense]]/TouristExpense[[#This Row],[Total Expense]]</f>
        <v>7.458416312867114E-3</v>
      </c>
    </row>
    <row r="72" spans="1:7">
      <c r="A72" t="s">
        <v>22</v>
      </c>
      <c r="B72" t="s">
        <v>25</v>
      </c>
      <c r="C72">
        <v>2018</v>
      </c>
      <c r="D72">
        <f>TouristExpense[[#This Row],[Year]]+543</f>
        <v>2561</v>
      </c>
      <c r="E72" s="16">
        <v>3065.27</v>
      </c>
      <c r="F72">
        <v>25.44</v>
      </c>
      <c r="G72" s="15">
        <f>TouristExpense[[#This Row],[Medical Expense]]/TouristExpense[[#This Row],[Total Expense]]</f>
        <v>8.2994320239326395E-3</v>
      </c>
    </row>
    <row r="73" spans="1:7">
      <c r="A73" t="s">
        <v>22</v>
      </c>
      <c r="B73" t="s">
        <v>26</v>
      </c>
      <c r="C73">
        <v>2018</v>
      </c>
      <c r="D73">
        <f>TouristExpense[[#This Row],[Year]]+543</f>
        <v>2561</v>
      </c>
      <c r="E73" s="16">
        <v>4798.7899999999991</v>
      </c>
      <c r="F73">
        <v>19.260000000000002</v>
      </c>
      <c r="G73" s="15">
        <f>TouristExpense[[#This Row],[Medical Expense]]/TouristExpense[[#This Row],[Total Expense]]</f>
        <v>4.013511739417646E-3</v>
      </c>
    </row>
    <row r="74" spans="1:7">
      <c r="A74" t="s">
        <v>22</v>
      </c>
      <c r="B74" t="s">
        <v>27</v>
      </c>
      <c r="C74">
        <v>2018</v>
      </c>
      <c r="D74">
        <f>TouristExpense[[#This Row],[Year]]+543</f>
        <v>2561</v>
      </c>
      <c r="E74" s="16">
        <v>2779.9100000000003</v>
      </c>
      <c r="F74">
        <v>20.79</v>
      </c>
      <c r="G74" s="15">
        <f>TouristExpense[[#This Row],[Medical Expense]]/TouristExpense[[#This Row],[Total Expense]]</f>
        <v>7.4786593810590978E-3</v>
      </c>
    </row>
    <row r="75" spans="1:7">
      <c r="A75" t="s">
        <v>22</v>
      </c>
      <c r="B75" t="s">
        <v>28</v>
      </c>
      <c r="C75">
        <v>2018</v>
      </c>
      <c r="D75">
        <f>TouristExpense[[#This Row],[Year]]+543</f>
        <v>2561</v>
      </c>
      <c r="E75" s="16">
        <v>3204.5400000000009</v>
      </c>
      <c r="F75">
        <v>4.3099999999999996</v>
      </c>
      <c r="G75" s="15">
        <f>TouristExpense[[#This Row],[Medical Expense]]/TouristExpense[[#This Row],[Total Expense]]</f>
        <v>1.3449668283123314E-3</v>
      </c>
    </row>
    <row r="76" spans="1:7">
      <c r="A76" t="s">
        <v>29</v>
      </c>
      <c r="B76" t="s">
        <v>30</v>
      </c>
      <c r="C76">
        <v>2018</v>
      </c>
      <c r="D76">
        <f>TouristExpense[[#This Row],[Year]]+543</f>
        <v>2561</v>
      </c>
      <c r="E76" s="16">
        <v>60256.29</v>
      </c>
      <c r="F76">
        <v>2240.7799999999997</v>
      </c>
      <c r="G76" s="15">
        <f>TouristExpense[[#This Row],[Medical Expense]]/TouristExpense[[#This Row],[Total Expense]]</f>
        <v>3.7187486982686785E-2</v>
      </c>
    </row>
    <row r="77" spans="1:7">
      <c r="A77" t="s">
        <v>29</v>
      </c>
      <c r="B77" t="s">
        <v>31</v>
      </c>
      <c r="C77">
        <v>2018</v>
      </c>
      <c r="D77">
        <f>TouristExpense[[#This Row],[Year]]+543</f>
        <v>2561</v>
      </c>
      <c r="E77" s="16">
        <v>6735.95</v>
      </c>
      <c r="F77">
        <v>300.39</v>
      </c>
      <c r="G77" s="15">
        <f>TouristExpense[[#This Row],[Medical Expense]]/TouristExpense[[#This Row],[Total Expense]]</f>
        <v>4.4595045984604995E-2</v>
      </c>
    </row>
    <row r="78" spans="1:7">
      <c r="A78" t="s">
        <v>29</v>
      </c>
      <c r="B78" t="s">
        <v>32</v>
      </c>
      <c r="C78">
        <v>2018</v>
      </c>
      <c r="D78">
        <f>TouristExpense[[#This Row],[Year]]+543</f>
        <v>2561</v>
      </c>
      <c r="E78" s="16">
        <v>520.40000000000009</v>
      </c>
      <c r="F78">
        <v>5.91</v>
      </c>
      <c r="G78" s="15">
        <f>TouristExpense[[#This Row],[Medical Expense]]/TouristExpense[[#This Row],[Total Expense]]</f>
        <v>1.1356648731744809E-2</v>
      </c>
    </row>
    <row r="79" spans="1:7">
      <c r="A79" t="s">
        <v>33</v>
      </c>
      <c r="B79" t="s">
        <v>34</v>
      </c>
      <c r="C79">
        <v>2018</v>
      </c>
      <c r="D79">
        <f>TouristExpense[[#This Row],[Year]]+543</f>
        <v>2561</v>
      </c>
      <c r="E79" s="16">
        <v>1448.92</v>
      </c>
      <c r="F79">
        <v>1.2200000000000002</v>
      </c>
      <c r="G79" s="15">
        <f>TouristExpense[[#This Row],[Medical Expense]]/TouristExpense[[#This Row],[Total Expense]]</f>
        <v>8.4200645998398814E-4</v>
      </c>
    </row>
    <row r="80" spans="1:7">
      <c r="A80" t="s">
        <v>33</v>
      </c>
      <c r="B80" t="s">
        <v>35</v>
      </c>
      <c r="C80">
        <v>2018</v>
      </c>
      <c r="D80">
        <f>TouristExpense[[#This Row],[Year]]+543</f>
        <v>2561</v>
      </c>
      <c r="E80" s="16">
        <v>7375.1900000000005</v>
      </c>
      <c r="F80">
        <v>162.38</v>
      </c>
      <c r="G80" s="15">
        <f>TouristExpense[[#This Row],[Medical Expense]]/TouristExpense[[#This Row],[Total Expense]]</f>
        <v>2.2017059899473775E-2</v>
      </c>
    </row>
    <row r="81" spans="1:7">
      <c r="A81" t="s">
        <v>33</v>
      </c>
      <c r="B81" t="s">
        <v>119</v>
      </c>
      <c r="C81">
        <v>2018</v>
      </c>
      <c r="D81">
        <f>TouristExpense[[#This Row],[Year]]+543</f>
        <v>2561</v>
      </c>
      <c r="E81" s="16">
        <v>3261.7299999999996</v>
      </c>
      <c r="F81">
        <v>17.220000000000002</v>
      </c>
      <c r="G81" s="15">
        <f>TouristExpense[[#This Row],[Medical Expense]]/TouristExpense[[#This Row],[Total Expense]]</f>
        <v>5.2794069404886379E-3</v>
      </c>
    </row>
    <row r="82" spans="1:7">
      <c r="A82" t="s">
        <v>33</v>
      </c>
      <c r="B82" t="s">
        <v>37</v>
      </c>
      <c r="C82">
        <v>2018</v>
      </c>
      <c r="D82">
        <f>TouristExpense[[#This Row],[Year]]+543</f>
        <v>2561</v>
      </c>
      <c r="E82" s="16">
        <v>11400.730000000001</v>
      </c>
      <c r="F82">
        <v>715.19999999999993</v>
      </c>
      <c r="G82" s="15">
        <f>TouristExpense[[#This Row],[Medical Expense]]/TouristExpense[[#This Row],[Total Expense]]</f>
        <v>6.2732825003311177E-2</v>
      </c>
    </row>
    <row r="83" spans="1:7">
      <c r="A83" t="s">
        <v>33</v>
      </c>
      <c r="B83" t="s">
        <v>38</v>
      </c>
      <c r="C83">
        <v>2018</v>
      </c>
      <c r="D83">
        <f>TouristExpense[[#This Row],[Year]]+543</f>
        <v>2561</v>
      </c>
      <c r="E83" s="16">
        <v>21526.969999999998</v>
      </c>
      <c r="F83">
        <v>1388.78</v>
      </c>
      <c r="G83" s="15">
        <f>TouristExpense[[#This Row],[Medical Expense]]/TouristExpense[[#This Row],[Total Expense]]</f>
        <v>6.4513491680436227E-2</v>
      </c>
    </row>
    <row r="84" spans="1:7">
      <c r="A84" t="s">
        <v>39</v>
      </c>
      <c r="B84" t="s">
        <v>40</v>
      </c>
      <c r="C84">
        <v>2018</v>
      </c>
      <c r="D84">
        <f>TouristExpense[[#This Row],[Year]]+543</f>
        <v>2561</v>
      </c>
      <c r="E84" s="16">
        <v>15221.720000000001</v>
      </c>
      <c r="F84">
        <v>191.78</v>
      </c>
      <c r="G84" s="15">
        <f>TouristExpense[[#This Row],[Medical Expense]]/TouristExpense[[#This Row],[Total Expense]]</f>
        <v>1.2599101809782336E-2</v>
      </c>
    </row>
    <row r="85" spans="1:7">
      <c r="A85" t="s">
        <v>39</v>
      </c>
      <c r="B85" t="s">
        <v>41</v>
      </c>
      <c r="C85">
        <v>2018</v>
      </c>
      <c r="D85">
        <f>TouristExpense[[#This Row],[Year]]+543</f>
        <v>2561</v>
      </c>
      <c r="E85" s="16">
        <v>10969.54</v>
      </c>
      <c r="F85">
        <v>37.01</v>
      </c>
      <c r="G85" s="15">
        <f>TouristExpense[[#This Row],[Medical Expense]]/TouristExpense[[#This Row],[Total Expense]]</f>
        <v>3.3738880572931952E-3</v>
      </c>
    </row>
    <row r="86" spans="1:7">
      <c r="A86" t="s">
        <v>39</v>
      </c>
      <c r="B86" t="s">
        <v>42</v>
      </c>
      <c r="C86">
        <v>2018</v>
      </c>
      <c r="D86">
        <f>TouristExpense[[#This Row],[Year]]+543</f>
        <v>2561</v>
      </c>
      <c r="E86" s="16">
        <v>11641.460000000003</v>
      </c>
      <c r="F86">
        <v>108.16999999999999</v>
      </c>
      <c r="G86" s="15">
        <f>TouristExpense[[#This Row],[Medical Expense]]/TouristExpense[[#This Row],[Total Expense]]</f>
        <v>9.2917898614091332E-3</v>
      </c>
    </row>
    <row r="87" spans="1:7">
      <c r="A87" t="s">
        <v>39</v>
      </c>
      <c r="B87" t="s">
        <v>43</v>
      </c>
      <c r="C87">
        <v>2018</v>
      </c>
      <c r="D87">
        <f>TouristExpense[[#This Row],[Year]]+543</f>
        <v>2561</v>
      </c>
      <c r="E87" s="16">
        <v>27002.46</v>
      </c>
      <c r="F87">
        <v>302.45</v>
      </c>
      <c r="G87" s="15">
        <f>TouristExpense[[#This Row],[Medical Expense]]/TouristExpense[[#This Row],[Total Expense]]</f>
        <v>1.1200831331663856E-2</v>
      </c>
    </row>
    <row r="88" spans="1:7">
      <c r="A88" t="s">
        <v>39</v>
      </c>
      <c r="B88" t="s">
        <v>44</v>
      </c>
      <c r="C88">
        <v>2018</v>
      </c>
      <c r="D88">
        <f>TouristExpense[[#This Row],[Year]]+543</f>
        <v>2561</v>
      </c>
      <c r="E88" s="16">
        <v>72458.570000000007</v>
      </c>
      <c r="F88">
        <v>1163.76</v>
      </c>
      <c r="G88" s="15">
        <f>TouristExpense[[#This Row],[Medical Expense]]/TouristExpense[[#This Row],[Total Expense]]</f>
        <v>1.6061040122652158E-2</v>
      </c>
    </row>
    <row r="89" spans="1:7">
      <c r="A89" t="s">
        <v>45</v>
      </c>
      <c r="B89" t="s">
        <v>46</v>
      </c>
      <c r="C89">
        <v>2018</v>
      </c>
      <c r="D89">
        <f>TouristExpense[[#This Row],[Year]]+543</f>
        <v>2561</v>
      </c>
      <c r="E89" s="16">
        <v>8694.4700000000012</v>
      </c>
      <c r="F89">
        <v>202.94</v>
      </c>
      <c r="G89" s="15">
        <f>TouristExpense[[#This Row],[Medical Expense]]/TouristExpense[[#This Row],[Total Expense]]</f>
        <v>2.3341273246097805E-2</v>
      </c>
    </row>
    <row r="90" spans="1:7">
      <c r="A90" t="s">
        <v>45</v>
      </c>
      <c r="B90" t="s">
        <v>47</v>
      </c>
      <c r="C90">
        <v>2018</v>
      </c>
      <c r="D90">
        <f>TouristExpense[[#This Row],[Year]]+543</f>
        <v>2561</v>
      </c>
      <c r="E90" s="16">
        <v>7715.630000000001</v>
      </c>
      <c r="F90">
        <v>31.06</v>
      </c>
      <c r="G90" s="15">
        <f>TouristExpense[[#This Row],[Medical Expense]]/TouristExpense[[#This Row],[Total Expense]]</f>
        <v>4.0255947991285216E-3</v>
      </c>
    </row>
    <row r="91" spans="1:7">
      <c r="A91" t="s">
        <v>45</v>
      </c>
      <c r="B91" t="s">
        <v>48</v>
      </c>
      <c r="C91">
        <v>2018</v>
      </c>
      <c r="D91">
        <f>TouristExpense[[#This Row],[Year]]+543</f>
        <v>2561</v>
      </c>
      <c r="E91" s="16">
        <v>44595.81</v>
      </c>
      <c r="F91">
        <v>741.7</v>
      </c>
      <c r="G91" s="15">
        <f>TouristExpense[[#This Row],[Medical Expense]]/TouristExpense[[#This Row],[Total Expense]]</f>
        <v>1.6631607319162946E-2</v>
      </c>
    </row>
    <row r="92" spans="1:7">
      <c r="A92" t="s">
        <v>45</v>
      </c>
      <c r="B92" t="s">
        <v>49</v>
      </c>
      <c r="C92">
        <v>2018</v>
      </c>
      <c r="D92">
        <f>TouristExpense[[#This Row],[Year]]+543</f>
        <v>2561</v>
      </c>
      <c r="E92" s="16">
        <v>54449.95</v>
      </c>
      <c r="F92">
        <v>844.11</v>
      </c>
      <c r="G92" s="15">
        <f>TouristExpense[[#This Row],[Medical Expense]]/TouristExpense[[#This Row],[Total Expense]]</f>
        <v>1.5502493574374266E-2</v>
      </c>
    </row>
    <row r="93" spans="1:7">
      <c r="A93" t="s">
        <v>45</v>
      </c>
      <c r="B93" t="s">
        <v>50</v>
      </c>
      <c r="C93">
        <v>2018</v>
      </c>
      <c r="D93">
        <f>TouristExpense[[#This Row],[Year]]+543</f>
        <v>2561</v>
      </c>
      <c r="E93" s="16">
        <v>16110.33</v>
      </c>
      <c r="F93">
        <v>88.35</v>
      </c>
      <c r="G93" s="15">
        <f>TouristExpense[[#This Row],[Medical Expense]]/TouristExpense[[#This Row],[Total Expense]]</f>
        <v>5.4840589857563437E-3</v>
      </c>
    </row>
    <row r="94" spans="1:7">
      <c r="A94" t="s">
        <v>45</v>
      </c>
      <c r="B94" t="s">
        <v>51</v>
      </c>
      <c r="C94">
        <v>2018</v>
      </c>
      <c r="D94">
        <f>TouristExpense[[#This Row],[Year]]+543</f>
        <v>2561</v>
      </c>
      <c r="E94" s="16">
        <v>17198.72</v>
      </c>
      <c r="F94">
        <v>137.81</v>
      </c>
      <c r="G94" s="15">
        <f>TouristExpense[[#This Row],[Medical Expense]]/TouristExpense[[#This Row],[Total Expense]]</f>
        <v>8.0128056041379823E-3</v>
      </c>
    </row>
    <row r="95" spans="1:7">
      <c r="A95" t="s">
        <v>52</v>
      </c>
      <c r="B95" t="s">
        <v>53</v>
      </c>
      <c r="C95">
        <v>2018</v>
      </c>
      <c r="D95">
        <f>TouristExpense[[#This Row],[Year]]+543</f>
        <v>2561</v>
      </c>
      <c r="E95" s="16">
        <v>105028.29000000001</v>
      </c>
      <c r="F95">
        <v>1193.9199999999998</v>
      </c>
      <c r="G95" s="15">
        <f>TouristExpense[[#This Row],[Medical Expense]]/TouristExpense[[#This Row],[Total Expense]]</f>
        <v>1.1367603909384794E-2</v>
      </c>
    </row>
    <row r="96" spans="1:7">
      <c r="A96" t="s">
        <v>33</v>
      </c>
      <c r="B96" t="s">
        <v>54</v>
      </c>
      <c r="C96">
        <v>2018</v>
      </c>
      <c r="D96">
        <f>TouristExpense[[#This Row],[Year]]+543</f>
        <v>2561</v>
      </c>
      <c r="E96" s="16">
        <v>16781.899999999998</v>
      </c>
      <c r="F96">
        <v>22.61</v>
      </c>
      <c r="G96" s="15">
        <f>TouristExpense[[#This Row],[Medical Expense]]/TouristExpense[[#This Row],[Total Expense]]</f>
        <v>1.34728487239228E-3</v>
      </c>
    </row>
    <row r="97" spans="1:7">
      <c r="A97" t="s">
        <v>55</v>
      </c>
      <c r="B97" t="s">
        <v>56</v>
      </c>
      <c r="C97">
        <v>2018</v>
      </c>
      <c r="D97">
        <f>TouristExpense[[#This Row],[Year]]+543</f>
        <v>2561</v>
      </c>
      <c r="E97" s="16">
        <v>16487.93</v>
      </c>
      <c r="F97">
        <v>168.56</v>
      </c>
      <c r="G97" s="15">
        <f>TouristExpense[[#This Row],[Medical Expense]]/TouristExpense[[#This Row],[Total Expense]]</f>
        <v>1.0223236027809434E-2</v>
      </c>
    </row>
    <row r="98" spans="1:7">
      <c r="A98" t="s">
        <v>55</v>
      </c>
      <c r="B98" t="s">
        <v>57</v>
      </c>
      <c r="C98">
        <v>2018</v>
      </c>
      <c r="D98">
        <f>TouristExpense[[#This Row],[Year]]+543</f>
        <v>2561</v>
      </c>
      <c r="E98" s="16">
        <v>10999.31</v>
      </c>
      <c r="F98">
        <v>81.899999999999991</v>
      </c>
      <c r="G98" s="15">
        <f>TouristExpense[[#This Row],[Medical Expense]]/TouristExpense[[#This Row],[Total Expense]]</f>
        <v>7.4459216078099442E-3</v>
      </c>
    </row>
    <row r="99" spans="1:7">
      <c r="A99" t="s">
        <v>58</v>
      </c>
      <c r="B99" t="s">
        <v>59</v>
      </c>
      <c r="C99">
        <v>2018</v>
      </c>
      <c r="D99">
        <f>TouristExpense[[#This Row],[Year]]+543</f>
        <v>2561</v>
      </c>
      <c r="E99" s="16">
        <v>30935.489999999998</v>
      </c>
      <c r="F99">
        <v>146.04000000000002</v>
      </c>
      <c r="G99" s="15">
        <f>TouristExpense[[#This Row],[Medical Expense]]/TouristExpense[[#This Row],[Total Expense]]</f>
        <v>4.7207915568817571E-3</v>
      </c>
    </row>
    <row r="100" spans="1:7">
      <c r="A100" t="s">
        <v>58</v>
      </c>
      <c r="B100" t="s">
        <v>60</v>
      </c>
      <c r="C100">
        <v>2018</v>
      </c>
      <c r="D100">
        <f>TouristExpense[[#This Row],[Year]]+543</f>
        <v>2561</v>
      </c>
      <c r="E100" s="16">
        <v>15576.549999999997</v>
      </c>
      <c r="F100">
        <v>163.31</v>
      </c>
      <c r="G100" s="15">
        <f>TouristExpense[[#This Row],[Medical Expense]]/TouristExpense[[#This Row],[Total Expense]]</f>
        <v>1.0484349872083357E-2</v>
      </c>
    </row>
    <row r="101" spans="1:7">
      <c r="A101" t="s">
        <v>61</v>
      </c>
      <c r="B101" t="s">
        <v>62</v>
      </c>
      <c r="C101">
        <v>2018</v>
      </c>
      <c r="D101">
        <f>TouristExpense[[#This Row],[Year]]+543</f>
        <v>2561</v>
      </c>
      <c r="E101" s="16">
        <v>19291.670000000002</v>
      </c>
      <c r="F101">
        <v>336.07</v>
      </c>
      <c r="G101" s="15">
        <f>TouristExpense[[#This Row],[Medical Expense]]/TouristExpense[[#This Row],[Total Expense]]</f>
        <v>1.7420472151970252E-2</v>
      </c>
    </row>
    <row r="102" spans="1:7">
      <c r="A102" t="s">
        <v>61</v>
      </c>
      <c r="B102" t="s">
        <v>63</v>
      </c>
      <c r="C102">
        <v>2018</v>
      </c>
      <c r="D102">
        <f>TouristExpense[[#This Row],[Year]]+543</f>
        <v>2561</v>
      </c>
      <c r="E102" s="16">
        <v>79070.589999999982</v>
      </c>
      <c r="F102">
        <v>1154.3700000000001</v>
      </c>
      <c r="G102" s="15">
        <f>TouristExpense[[#This Row],[Medical Expense]]/TouristExpense[[#This Row],[Total Expense]]</f>
        <v>1.4599233419151172E-2</v>
      </c>
    </row>
    <row r="103" spans="1:7">
      <c r="A103" t="s">
        <v>61</v>
      </c>
      <c r="B103" t="s">
        <v>64</v>
      </c>
      <c r="C103">
        <v>2018</v>
      </c>
      <c r="D103">
        <f>TouristExpense[[#This Row],[Year]]+543</f>
        <v>2561</v>
      </c>
      <c r="E103" s="16">
        <v>2910.8400000000006</v>
      </c>
      <c r="F103">
        <v>11.750000000000002</v>
      </c>
      <c r="G103" s="15">
        <f>TouristExpense[[#This Row],[Medical Expense]]/TouristExpense[[#This Row],[Total Expense]]</f>
        <v>4.0366354729219059E-3</v>
      </c>
    </row>
    <row r="104" spans="1:7">
      <c r="A104" t="s">
        <v>61</v>
      </c>
      <c r="B104" t="s">
        <v>65</v>
      </c>
      <c r="C104">
        <v>2018</v>
      </c>
      <c r="D104">
        <f>TouristExpense[[#This Row],[Year]]+543</f>
        <v>2561</v>
      </c>
      <c r="E104" s="16">
        <v>4104.53</v>
      </c>
      <c r="F104">
        <v>36.830000000000005</v>
      </c>
      <c r="G104" s="15">
        <f>TouristExpense[[#This Row],[Medical Expense]]/TouristExpense[[#This Row],[Total Expense]]</f>
        <v>8.9730127444555188E-3</v>
      </c>
    </row>
    <row r="105" spans="1:7">
      <c r="A105" t="s">
        <v>61</v>
      </c>
      <c r="B105" t="s">
        <v>66</v>
      </c>
      <c r="C105">
        <v>2018</v>
      </c>
      <c r="D105">
        <f>TouristExpense[[#This Row],[Year]]+543</f>
        <v>2561</v>
      </c>
      <c r="E105" s="16">
        <v>5868.5800000000008</v>
      </c>
      <c r="F105">
        <v>27.6</v>
      </c>
      <c r="G105" s="15">
        <f>TouristExpense[[#This Row],[Medical Expense]]/TouristExpense[[#This Row],[Total Expense]]</f>
        <v>4.7030116314338384E-3</v>
      </c>
    </row>
    <row r="106" spans="1:7">
      <c r="A106" t="s">
        <v>67</v>
      </c>
      <c r="B106" t="s">
        <v>68</v>
      </c>
      <c r="C106">
        <v>2018</v>
      </c>
      <c r="D106">
        <f>TouristExpense[[#This Row],[Year]]+543</f>
        <v>2561</v>
      </c>
      <c r="E106" s="16">
        <v>6512.09</v>
      </c>
      <c r="F106">
        <v>51.58</v>
      </c>
      <c r="G106" s="15">
        <f>TouristExpense[[#This Row],[Medical Expense]]/TouristExpense[[#This Row],[Total Expense]]</f>
        <v>7.9206522022883582E-3</v>
      </c>
    </row>
    <row r="107" spans="1:7">
      <c r="A107" t="s">
        <v>67</v>
      </c>
      <c r="B107" t="s">
        <v>69</v>
      </c>
      <c r="C107">
        <v>2018</v>
      </c>
      <c r="D107">
        <f>TouristExpense[[#This Row],[Year]]+543</f>
        <v>2561</v>
      </c>
      <c r="E107" s="16">
        <v>7954.3600000000015</v>
      </c>
      <c r="F107">
        <v>274.68</v>
      </c>
      <c r="G107" s="15">
        <f>TouristExpense[[#This Row],[Medical Expense]]/TouristExpense[[#This Row],[Total Expense]]</f>
        <v>3.4532005089032924E-2</v>
      </c>
    </row>
    <row r="108" spans="1:7">
      <c r="A108" t="s">
        <v>5</v>
      </c>
      <c r="B108" t="s">
        <v>6</v>
      </c>
      <c r="C108">
        <v>2019</v>
      </c>
      <c r="D108">
        <f>TouristExpense[[#This Row],[Year]]+543</f>
        <v>2562</v>
      </c>
      <c r="E108" s="16">
        <v>945.12999999999988</v>
      </c>
      <c r="F108">
        <v>11</v>
      </c>
      <c r="G108" s="15">
        <f>TouristExpense[[#This Row],[Medical Expense]]/TouristExpense[[#This Row],[Total Expense]]</f>
        <v>1.1638610561510058E-2</v>
      </c>
    </row>
    <row r="109" spans="1:7">
      <c r="A109" t="s">
        <v>5</v>
      </c>
      <c r="B109" t="s">
        <v>7</v>
      </c>
      <c r="C109">
        <v>2019</v>
      </c>
      <c r="D109">
        <f>TouristExpense[[#This Row],[Year]]+543</f>
        <v>2562</v>
      </c>
      <c r="E109" s="16">
        <v>39277.879999999997</v>
      </c>
      <c r="F109">
        <v>6285.8099999999995</v>
      </c>
      <c r="G109" s="15">
        <f>TouristExpense[[#This Row],[Medical Expense]]/TouristExpense[[#This Row],[Total Expense]]</f>
        <v>0.16003435012276629</v>
      </c>
    </row>
    <row r="110" spans="1:7">
      <c r="A110" t="s">
        <v>5</v>
      </c>
      <c r="B110" t="s">
        <v>8</v>
      </c>
      <c r="C110">
        <v>2019</v>
      </c>
      <c r="D110">
        <f>TouristExpense[[#This Row],[Year]]+543</f>
        <v>2562</v>
      </c>
      <c r="E110" s="16">
        <v>18333.62</v>
      </c>
      <c r="F110">
        <v>181.76000000000002</v>
      </c>
      <c r="G110" s="15">
        <f>TouristExpense[[#This Row],[Medical Expense]]/TouristExpense[[#This Row],[Total Expense]]</f>
        <v>9.9140267988536927E-3</v>
      </c>
    </row>
    <row r="111" spans="1:7">
      <c r="A111" t="s">
        <v>5</v>
      </c>
      <c r="B111" t="s">
        <v>9</v>
      </c>
      <c r="C111">
        <v>2019</v>
      </c>
      <c r="D111">
        <f>TouristExpense[[#This Row],[Year]]+543</f>
        <v>2562</v>
      </c>
      <c r="E111" s="16">
        <v>58035.539999999994</v>
      </c>
      <c r="F111">
        <v>4092.85</v>
      </c>
      <c r="G111" s="15">
        <f>TouristExpense[[#This Row],[Medical Expense]]/TouristExpense[[#This Row],[Total Expense]]</f>
        <v>7.0523165632645102E-2</v>
      </c>
    </row>
    <row r="112" spans="1:7">
      <c r="A112" t="s">
        <v>5</v>
      </c>
      <c r="B112" t="s">
        <v>10</v>
      </c>
      <c r="C112">
        <v>2019</v>
      </c>
      <c r="D112">
        <f>TouristExpense[[#This Row],[Year]]+543</f>
        <v>2562</v>
      </c>
      <c r="E112" s="16">
        <v>107457.97</v>
      </c>
      <c r="F112">
        <v>1055.6300000000001</v>
      </c>
      <c r="G112" s="15">
        <f>TouristExpense[[#This Row],[Medical Expense]]/TouristExpense[[#This Row],[Total Expense]]</f>
        <v>9.823654774047938E-3</v>
      </c>
    </row>
    <row r="113" spans="1:7">
      <c r="A113" t="s">
        <v>5</v>
      </c>
      <c r="B113" t="s">
        <v>11</v>
      </c>
      <c r="C113">
        <v>2019</v>
      </c>
      <c r="D113">
        <f>TouristExpense[[#This Row],[Year]]+543</f>
        <v>2562</v>
      </c>
      <c r="E113" s="16">
        <v>15106.83</v>
      </c>
      <c r="F113">
        <v>1982.01</v>
      </c>
      <c r="G113" s="15">
        <f>TouristExpense[[#This Row],[Medical Expense]]/TouristExpense[[#This Row],[Total Expense]]</f>
        <v>0.1311995964739128</v>
      </c>
    </row>
    <row r="114" spans="1:7">
      <c r="A114" t="s">
        <v>5</v>
      </c>
      <c r="B114" t="s">
        <v>12</v>
      </c>
      <c r="C114">
        <v>2019</v>
      </c>
      <c r="D114">
        <f>TouristExpense[[#This Row],[Year]]+543</f>
        <v>2562</v>
      </c>
      <c r="E114" s="16">
        <v>19820.079999999998</v>
      </c>
      <c r="F114">
        <v>233.27</v>
      </c>
      <c r="G114" s="15">
        <f>TouristExpense[[#This Row],[Medical Expense]]/TouristExpense[[#This Row],[Total Expense]]</f>
        <v>1.1769377318355931E-2</v>
      </c>
    </row>
    <row r="115" spans="1:7">
      <c r="A115" t="s">
        <v>5</v>
      </c>
      <c r="B115" t="s">
        <v>13</v>
      </c>
      <c r="C115">
        <v>2019</v>
      </c>
      <c r="D115">
        <f>TouristExpense[[#This Row],[Year]]+543</f>
        <v>2562</v>
      </c>
      <c r="E115" s="16">
        <v>43678.41</v>
      </c>
      <c r="F115">
        <v>190.66000000000003</v>
      </c>
      <c r="G115" s="15">
        <f>TouristExpense[[#This Row],[Medical Expense]]/TouristExpense[[#This Row],[Total Expense]]</f>
        <v>4.3650856338406097E-3</v>
      </c>
    </row>
    <row r="116" spans="1:7">
      <c r="A116" t="s">
        <v>5</v>
      </c>
      <c r="B116" t="s">
        <v>14</v>
      </c>
      <c r="C116">
        <v>2019</v>
      </c>
      <c r="D116">
        <f>TouristExpense[[#This Row],[Year]]+543</f>
        <v>2562</v>
      </c>
      <c r="E116" s="16">
        <v>39715.179999999993</v>
      </c>
      <c r="F116">
        <v>634.45000000000005</v>
      </c>
      <c r="G116" s="15">
        <f>TouristExpense[[#This Row],[Medical Expense]]/TouristExpense[[#This Row],[Total Expense]]</f>
        <v>1.5974999987410358E-2</v>
      </c>
    </row>
    <row r="117" spans="1:7">
      <c r="A117" t="s">
        <v>15</v>
      </c>
      <c r="B117" t="s">
        <v>16</v>
      </c>
      <c r="C117">
        <v>2019</v>
      </c>
      <c r="D117">
        <f>TouristExpense[[#This Row],[Year]]+543</f>
        <v>2562</v>
      </c>
      <c r="E117" s="16">
        <v>531576.65</v>
      </c>
      <c r="F117">
        <v>5320.5400000000009</v>
      </c>
      <c r="G117" s="15">
        <f>TouristExpense[[#This Row],[Medical Expense]]/TouristExpense[[#This Row],[Total Expense]]</f>
        <v>1.0008979890294279E-2</v>
      </c>
    </row>
    <row r="118" spans="1:7">
      <c r="A118" t="s">
        <v>15</v>
      </c>
      <c r="B118" t="s">
        <v>17</v>
      </c>
      <c r="C118">
        <v>2019</v>
      </c>
      <c r="D118">
        <f>TouristExpense[[#This Row],[Year]]+543</f>
        <v>2562</v>
      </c>
      <c r="E118" s="16">
        <v>42973.72</v>
      </c>
      <c r="F118">
        <v>524.12</v>
      </c>
      <c r="G118" s="15">
        <f>TouristExpense[[#This Row],[Medical Expense]]/TouristExpense[[#This Row],[Total Expense]]</f>
        <v>1.2196291128624658E-2</v>
      </c>
    </row>
    <row r="119" spans="1:7">
      <c r="A119" t="s">
        <v>15</v>
      </c>
      <c r="B119" t="s">
        <v>18</v>
      </c>
      <c r="C119">
        <v>2019</v>
      </c>
      <c r="D119">
        <f>TouristExpense[[#This Row],[Year]]+543</f>
        <v>2562</v>
      </c>
      <c r="E119" s="16">
        <v>93758.84</v>
      </c>
      <c r="F119">
        <v>290.18</v>
      </c>
      <c r="G119" s="15">
        <f>TouristExpense[[#This Row],[Medical Expense]]/TouristExpense[[#This Row],[Total Expense]]</f>
        <v>3.0949614990970452E-3</v>
      </c>
    </row>
    <row r="120" spans="1:7">
      <c r="A120" t="s">
        <v>15</v>
      </c>
      <c r="B120" t="s">
        <v>19</v>
      </c>
      <c r="C120">
        <v>2019</v>
      </c>
      <c r="D120">
        <f>TouristExpense[[#This Row],[Year]]+543</f>
        <v>2562</v>
      </c>
      <c r="E120" s="16">
        <v>75435.78</v>
      </c>
      <c r="F120">
        <v>938.09</v>
      </c>
      <c r="G120" s="15">
        <f>TouristExpense[[#This Row],[Medical Expense]]/TouristExpense[[#This Row],[Total Expense]]</f>
        <v>1.243561079371089E-2</v>
      </c>
    </row>
    <row r="121" spans="1:7">
      <c r="A121" t="s">
        <v>15</v>
      </c>
      <c r="B121" t="s">
        <v>20</v>
      </c>
      <c r="C121">
        <v>2019</v>
      </c>
      <c r="D121">
        <f>TouristExpense[[#This Row],[Year]]+543</f>
        <v>2562</v>
      </c>
      <c r="E121" s="16">
        <v>33535.47</v>
      </c>
      <c r="F121">
        <v>299.54000000000002</v>
      </c>
      <c r="G121" s="15">
        <f>TouristExpense[[#This Row],[Medical Expense]]/TouristExpense[[#This Row],[Total Expense]]</f>
        <v>8.9320352450703699E-3</v>
      </c>
    </row>
    <row r="122" spans="1:7">
      <c r="A122" t="s">
        <v>15</v>
      </c>
      <c r="B122" t="s">
        <v>21</v>
      </c>
      <c r="C122">
        <v>2019</v>
      </c>
      <c r="D122">
        <f>TouristExpense[[#This Row],[Year]]+543</f>
        <v>2562</v>
      </c>
      <c r="E122" s="16">
        <v>5572.39</v>
      </c>
      <c r="F122">
        <v>17.09</v>
      </c>
      <c r="G122" s="15">
        <f>TouristExpense[[#This Row],[Medical Expense]]/TouristExpense[[#This Row],[Total Expense]]</f>
        <v>3.0669066594405628E-3</v>
      </c>
    </row>
    <row r="123" spans="1:7">
      <c r="A123" t="s">
        <v>22</v>
      </c>
      <c r="B123" t="s">
        <v>23</v>
      </c>
      <c r="C123">
        <v>2019</v>
      </c>
      <c r="D123">
        <f>TouristExpense[[#This Row],[Year]]+543</f>
        <v>2562</v>
      </c>
      <c r="E123" s="16">
        <v>6730.0800000000008</v>
      </c>
      <c r="F123">
        <v>534.81000000000006</v>
      </c>
      <c r="G123" s="15">
        <f>TouristExpense[[#This Row],[Medical Expense]]/TouristExpense[[#This Row],[Total Expense]]</f>
        <v>7.9465622994080304E-2</v>
      </c>
    </row>
    <row r="124" spans="1:7">
      <c r="A124" t="s">
        <v>22</v>
      </c>
      <c r="B124" t="s">
        <v>24</v>
      </c>
      <c r="C124">
        <v>2019</v>
      </c>
      <c r="D124">
        <f>TouristExpense[[#This Row],[Year]]+543</f>
        <v>2562</v>
      </c>
      <c r="E124" s="16">
        <v>80039.87999999999</v>
      </c>
      <c r="F124">
        <v>760.11</v>
      </c>
      <c r="G124" s="15">
        <f>TouristExpense[[#This Row],[Medical Expense]]/TouristExpense[[#This Row],[Total Expense]]</f>
        <v>9.4966409244991393E-3</v>
      </c>
    </row>
    <row r="125" spans="1:7">
      <c r="A125" t="s">
        <v>22</v>
      </c>
      <c r="B125" t="s">
        <v>25</v>
      </c>
      <c r="C125">
        <v>2019</v>
      </c>
      <c r="D125">
        <f>TouristExpense[[#This Row],[Year]]+543</f>
        <v>2562</v>
      </c>
      <c r="E125" s="16">
        <v>2969.18</v>
      </c>
      <c r="F125">
        <v>33.67</v>
      </c>
      <c r="G125" s="15">
        <f>TouristExpense[[#This Row],[Medical Expense]]/TouristExpense[[#This Row],[Total Expense]]</f>
        <v>1.1339831199186308E-2</v>
      </c>
    </row>
    <row r="126" spans="1:7">
      <c r="A126" t="s">
        <v>22</v>
      </c>
      <c r="B126" t="s">
        <v>26</v>
      </c>
      <c r="C126">
        <v>2019</v>
      </c>
      <c r="D126">
        <f>TouristExpense[[#This Row],[Year]]+543</f>
        <v>2562</v>
      </c>
      <c r="E126" s="16">
        <v>4418.12</v>
      </c>
      <c r="F126">
        <v>21.34</v>
      </c>
      <c r="G126" s="15">
        <f>TouristExpense[[#This Row],[Medical Expense]]/TouristExpense[[#This Row],[Total Expense]]</f>
        <v>4.8301087340316693E-3</v>
      </c>
    </row>
    <row r="127" spans="1:7">
      <c r="A127" t="s">
        <v>22</v>
      </c>
      <c r="B127" t="s">
        <v>27</v>
      </c>
      <c r="C127">
        <v>2019</v>
      </c>
      <c r="D127">
        <f>TouristExpense[[#This Row],[Year]]+543</f>
        <v>2562</v>
      </c>
      <c r="E127" s="16">
        <v>2814.0499999999997</v>
      </c>
      <c r="F127">
        <v>24.37</v>
      </c>
      <c r="G127" s="15">
        <f>TouristExpense[[#This Row],[Medical Expense]]/TouristExpense[[#This Row],[Total Expense]]</f>
        <v>8.6601162026261093E-3</v>
      </c>
    </row>
    <row r="128" spans="1:7">
      <c r="A128" t="s">
        <v>22</v>
      </c>
      <c r="B128" t="s">
        <v>28</v>
      </c>
      <c r="C128">
        <v>2019</v>
      </c>
      <c r="D128">
        <f>TouristExpense[[#This Row],[Year]]+543</f>
        <v>2562</v>
      </c>
      <c r="E128" s="16">
        <v>3196.8500000000004</v>
      </c>
      <c r="F128">
        <v>18.48</v>
      </c>
      <c r="G128" s="15">
        <f>TouristExpense[[#This Row],[Medical Expense]]/TouristExpense[[#This Row],[Total Expense]]</f>
        <v>5.7806903670800935E-3</v>
      </c>
    </row>
    <row r="129" spans="1:7">
      <c r="A129" t="s">
        <v>29</v>
      </c>
      <c r="B129" t="s">
        <v>30</v>
      </c>
      <c r="C129">
        <v>2019</v>
      </c>
      <c r="D129">
        <f>TouristExpense[[#This Row],[Year]]+543</f>
        <v>2562</v>
      </c>
      <c r="E129" s="16">
        <v>55402.66</v>
      </c>
      <c r="F129">
        <v>1694</v>
      </c>
      <c r="G129" s="15">
        <f>TouristExpense[[#This Row],[Medical Expense]]/TouristExpense[[#This Row],[Total Expense]]</f>
        <v>3.0576149231823887E-2</v>
      </c>
    </row>
    <row r="130" spans="1:7">
      <c r="A130" t="s">
        <v>29</v>
      </c>
      <c r="B130" t="s">
        <v>120</v>
      </c>
      <c r="C130">
        <v>2019</v>
      </c>
      <c r="D130">
        <f>TouristExpense[[#This Row],[Year]]+543</f>
        <v>2562</v>
      </c>
      <c r="E130" s="16">
        <v>5976.15</v>
      </c>
      <c r="F130">
        <v>246.26999999999998</v>
      </c>
      <c r="G130" s="15">
        <f>TouristExpense[[#This Row],[Medical Expense]]/TouristExpense[[#This Row],[Total Expense]]</f>
        <v>4.1208804999874497E-2</v>
      </c>
    </row>
    <row r="131" spans="1:7">
      <c r="A131" t="s">
        <v>29</v>
      </c>
      <c r="B131" t="s">
        <v>32</v>
      </c>
      <c r="C131">
        <v>2019</v>
      </c>
      <c r="D131">
        <f>TouristExpense[[#This Row],[Year]]+543</f>
        <v>2562</v>
      </c>
      <c r="E131" s="16">
        <v>519.85</v>
      </c>
      <c r="F131">
        <v>9.5299999999999994</v>
      </c>
      <c r="G131" s="15">
        <f>TouristExpense[[#This Row],[Medical Expense]]/TouristExpense[[#This Row],[Total Expense]]</f>
        <v>1.8332211214773492E-2</v>
      </c>
    </row>
    <row r="132" spans="1:7">
      <c r="A132" t="s">
        <v>33</v>
      </c>
      <c r="B132" t="s">
        <v>34</v>
      </c>
      <c r="C132">
        <v>2019</v>
      </c>
      <c r="D132">
        <f>TouristExpense[[#This Row],[Year]]+543</f>
        <v>2562</v>
      </c>
      <c r="E132" s="16">
        <v>1482.1100000000001</v>
      </c>
      <c r="F132">
        <v>1.67</v>
      </c>
      <c r="G132" s="15">
        <f>TouristExpense[[#This Row],[Medical Expense]]/TouristExpense[[#This Row],[Total Expense]]</f>
        <v>1.126771966993003E-3</v>
      </c>
    </row>
    <row r="133" spans="1:7">
      <c r="A133" t="s">
        <v>33</v>
      </c>
      <c r="B133" t="s">
        <v>54</v>
      </c>
      <c r="C133">
        <v>2019</v>
      </c>
      <c r="D133">
        <f>TouristExpense[[#This Row],[Year]]+543</f>
        <v>2562</v>
      </c>
      <c r="E133" s="16">
        <v>16090.660000000002</v>
      </c>
      <c r="F133">
        <v>49.099999999999994</v>
      </c>
      <c r="G133" s="15">
        <f>TouristExpense[[#This Row],[Medical Expense]]/TouristExpense[[#This Row],[Total Expense]]</f>
        <v>3.0514596666637657E-3</v>
      </c>
    </row>
    <row r="134" spans="1:7">
      <c r="A134" t="s">
        <v>33</v>
      </c>
      <c r="B134" t="s">
        <v>35</v>
      </c>
      <c r="C134">
        <v>2019</v>
      </c>
      <c r="D134">
        <f>TouristExpense[[#This Row],[Year]]+543</f>
        <v>2562</v>
      </c>
      <c r="E134" s="16">
        <v>7675.4</v>
      </c>
      <c r="F134">
        <v>166.46</v>
      </c>
      <c r="G134" s="15">
        <f>TouristExpense[[#This Row],[Medical Expense]]/TouristExpense[[#This Row],[Total Expense]]</f>
        <v>2.168746905698726E-2</v>
      </c>
    </row>
    <row r="135" spans="1:7">
      <c r="A135" t="s">
        <v>33</v>
      </c>
      <c r="B135" t="s">
        <v>119</v>
      </c>
      <c r="C135">
        <v>2019</v>
      </c>
      <c r="D135">
        <f>TouristExpense[[#This Row],[Year]]+543</f>
        <v>2562</v>
      </c>
      <c r="E135" s="16">
        <v>3220.1499999999996</v>
      </c>
      <c r="F135">
        <v>37.26</v>
      </c>
      <c r="G135" s="15">
        <f>TouristExpense[[#This Row],[Medical Expense]]/TouristExpense[[#This Row],[Total Expense]]</f>
        <v>1.1570889554834403E-2</v>
      </c>
    </row>
    <row r="136" spans="1:7">
      <c r="A136" t="s">
        <v>33</v>
      </c>
      <c r="B136" t="s">
        <v>37</v>
      </c>
      <c r="C136">
        <v>2019</v>
      </c>
      <c r="D136">
        <f>TouristExpense[[#This Row],[Year]]+543</f>
        <v>2562</v>
      </c>
      <c r="E136" s="16">
        <v>11077.150000000001</v>
      </c>
      <c r="F136">
        <v>691.7</v>
      </c>
      <c r="G136" s="15">
        <f>TouristExpense[[#This Row],[Medical Expense]]/TouristExpense[[#This Row],[Total Expense]]</f>
        <v>6.2443859657041745E-2</v>
      </c>
    </row>
    <row r="137" spans="1:7">
      <c r="A137" t="s">
        <v>33</v>
      </c>
      <c r="B137" t="s">
        <v>38</v>
      </c>
      <c r="C137">
        <v>2019</v>
      </c>
      <c r="D137">
        <f>TouristExpense[[#This Row],[Year]]+543</f>
        <v>2562</v>
      </c>
      <c r="E137" s="16">
        <v>17835.72</v>
      </c>
      <c r="F137">
        <v>1297.04</v>
      </c>
      <c r="G137" s="15">
        <f>TouristExpense[[#This Row],[Medical Expense]]/TouristExpense[[#This Row],[Total Expense]]</f>
        <v>7.2721482508135357E-2</v>
      </c>
    </row>
    <row r="138" spans="1:7">
      <c r="A138" t="s">
        <v>39</v>
      </c>
      <c r="B138" t="s">
        <v>40</v>
      </c>
      <c r="C138">
        <v>2019</v>
      </c>
      <c r="D138">
        <f>TouristExpense[[#This Row],[Year]]+543</f>
        <v>2562</v>
      </c>
      <c r="E138" s="16">
        <v>13784.140000000001</v>
      </c>
      <c r="F138">
        <v>112.69</v>
      </c>
      <c r="G138" s="15">
        <f>TouristExpense[[#This Row],[Medical Expense]]/TouristExpense[[#This Row],[Total Expense]]</f>
        <v>8.1753377432324387E-3</v>
      </c>
    </row>
    <row r="139" spans="1:7">
      <c r="A139" t="s">
        <v>39</v>
      </c>
      <c r="B139" t="s">
        <v>41</v>
      </c>
      <c r="C139">
        <v>2019</v>
      </c>
      <c r="D139">
        <f>TouristExpense[[#This Row],[Year]]+543</f>
        <v>2562</v>
      </c>
      <c r="E139" s="16">
        <v>9858.3700000000008</v>
      </c>
      <c r="F139">
        <v>43.3</v>
      </c>
      <c r="G139" s="15">
        <f>TouristExpense[[#This Row],[Medical Expense]]/TouristExpense[[#This Row],[Total Expense]]</f>
        <v>4.3922068252662452E-3</v>
      </c>
    </row>
    <row r="140" spans="1:7">
      <c r="A140" t="s">
        <v>39</v>
      </c>
      <c r="B140" t="s">
        <v>42</v>
      </c>
      <c r="C140">
        <v>2019</v>
      </c>
      <c r="D140">
        <f>TouristExpense[[#This Row],[Year]]+543</f>
        <v>2562</v>
      </c>
      <c r="E140" s="16">
        <v>11970.930000000002</v>
      </c>
      <c r="F140">
        <v>142</v>
      </c>
      <c r="G140" s="15">
        <f>TouristExpense[[#This Row],[Medical Expense]]/TouristExpense[[#This Row],[Total Expense]]</f>
        <v>1.1862069195960546E-2</v>
      </c>
    </row>
    <row r="141" spans="1:7">
      <c r="A141" t="s">
        <v>39</v>
      </c>
      <c r="B141" t="s">
        <v>43</v>
      </c>
      <c r="C141">
        <v>2019</v>
      </c>
      <c r="D141">
        <f>TouristExpense[[#This Row],[Year]]+543</f>
        <v>2562</v>
      </c>
      <c r="E141" s="16">
        <v>23771.56</v>
      </c>
      <c r="F141">
        <v>267.79000000000002</v>
      </c>
      <c r="G141" s="15">
        <f>TouristExpense[[#This Row],[Medical Expense]]/TouristExpense[[#This Row],[Total Expense]]</f>
        <v>1.1265142043685816E-2</v>
      </c>
    </row>
    <row r="142" spans="1:7">
      <c r="A142" t="s">
        <v>39</v>
      </c>
      <c r="B142" t="s">
        <v>118</v>
      </c>
      <c r="C142">
        <v>2019</v>
      </c>
      <c r="D142">
        <f>TouristExpense[[#This Row],[Year]]+543</f>
        <v>2562</v>
      </c>
      <c r="E142" s="16">
        <v>72318.73</v>
      </c>
      <c r="F142">
        <v>1151.04</v>
      </c>
      <c r="G142" s="15">
        <f>TouristExpense[[#This Row],[Medical Expense]]/TouristExpense[[#This Row],[Total Expense]]</f>
        <v>1.5916208705545574E-2</v>
      </c>
    </row>
    <row r="143" spans="1:7">
      <c r="A143" t="s">
        <v>45</v>
      </c>
      <c r="B143" t="s">
        <v>46</v>
      </c>
      <c r="C143">
        <v>2019</v>
      </c>
      <c r="D143">
        <f>TouristExpense[[#This Row],[Year]]+543</f>
        <v>2562</v>
      </c>
      <c r="E143" s="16">
        <v>7873.28</v>
      </c>
      <c r="F143">
        <v>84.96</v>
      </c>
      <c r="G143" s="15">
        <f>TouristExpense[[#This Row],[Medical Expense]]/TouristExpense[[#This Row],[Total Expense]]</f>
        <v>1.0790928304340757E-2</v>
      </c>
    </row>
    <row r="144" spans="1:7">
      <c r="A144" t="s">
        <v>45</v>
      </c>
      <c r="B144" t="s">
        <v>47</v>
      </c>
      <c r="C144">
        <v>2019</v>
      </c>
      <c r="D144">
        <f>TouristExpense[[#This Row],[Year]]+543</f>
        <v>2562</v>
      </c>
      <c r="E144" s="16">
        <v>7312.5</v>
      </c>
      <c r="F144">
        <v>21.31</v>
      </c>
      <c r="G144" s="15">
        <f>TouristExpense[[#This Row],[Medical Expense]]/TouristExpense[[#This Row],[Total Expense]]</f>
        <v>2.9141880341880342E-3</v>
      </c>
    </row>
    <row r="145" spans="1:7">
      <c r="A145" t="s">
        <v>45</v>
      </c>
      <c r="B145" t="s">
        <v>48</v>
      </c>
      <c r="C145">
        <v>2019</v>
      </c>
      <c r="D145">
        <f>TouristExpense[[#This Row],[Year]]+543</f>
        <v>2562</v>
      </c>
      <c r="E145" s="16">
        <v>42827.24</v>
      </c>
      <c r="F145">
        <v>636.67000000000007</v>
      </c>
      <c r="G145" s="15">
        <f>TouristExpense[[#This Row],[Medical Expense]]/TouristExpense[[#This Row],[Total Expense]]</f>
        <v>1.4866005841142229E-2</v>
      </c>
    </row>
    <row r="146" spans="1:7">
      <c r="A146" t="s">
        <v>45</v>
      </c>
      <c r="B146" t="s">
        <v>49</v>
      </c>
      <c r="C146">
        <v>2019</v>
      </c>
      <c r="D146">
        <f>TouristExpense[[#This Row],[Year]]+543</f>
        <v>2562</v>
      </c>
      <c r="E146" s="16">
        <v>52169.5</v>
      </c>
      <c r="F146">
        <v>691.84999999999991</v>
      </c>
      <c r="G146" s="15">
        <f>TouristExpense[[#This Row],[Medical Expense]]/TouristExpense[[#This Row],[Total Expense]]</f>
        <v>1.3261580041978549E-2</v>
      </c>
    </row>
    <row r="147" spans="1:7">
      <c r="A147" t="s">
        <v>45</v>
      </c>
      <c r="B147" t="s">
        <v>50</v>
      </c>
      <c r="C147">
        <v>2019</v>
      </c>
      <c r="D147">
        <f>TouristExpense[[#This Row],[Year]]+543</f>
        <v>2562</v>
      </c>
      <c r="E147" s="16">
        <v>16291.98</v>
      </c>
      <c r="F147">
        <v>119.67999999999999</v>
      </c>
      <c r="G147" s="15">
        <f>TouristExpense[[#This Row],[Medical Expense]]/TouristExpense[[#This Row],[Total Expense]]</f>
        <v>7.345945673883714E-3</v>
      </c>
    </row>
    <row r="148" spans="1:7">
      <c r="A148" t="s">
        <v>45</v>
      </c>
      <c r="B148" t="s">
        <v>51</v>
      </c>
      <c r="C148">
        <v>2019</v>
      </c>
      <c r="D148">
        <f>TouristExpense[[#This Row],[Year]]+543</f>
        <v>2562</v>
      </c>
      <c r="E148" s="16">
        <v>15877.930000000002</v>
      </c>
      <c r="F148">
        <v>267.79000000000002</v>
      </c>
      <c r="G148" s="15">
        <f>TouristExpense[[#This Row],[Medical Expense]]/TouristExpense[[#This Row],[Total Expense]]</f>
        <v>1.6865548594810532E-2</v>
      </c>
    </row>
    <row r="149" spans="1:7">
      <c r="A149" t="s">
        <v>52</v>
      </c>
      <c r="B149" t="s">
        <v>53</v>
      </c>
      <c r="C149">
        <v>2019</v>
      </c>
      <c r="D149">
        <f>TouristExpense[[#This Row],[Year]]+543</f>
        <v>2562</v>
      </c>
      <c r="E149" s="16">
        <v>102895.03</v>
      </c>
      <c r="F149">
        <v>1348.01</v>
      </c>
      <c r="G149" s="15">
        <f>TouristExpense[[#This Row],[Medical Expense]]/TouristExpense[[#This Row],[Total Expense]]</f>
        <v>1.3100827124497656E-2</v>
      </c>
    </row>
    <row r="150" spans="1:7">
      <c r="A150" t="s">
        <v>55</v>
      </c>
      <c r="B150" t="s">
        <v>56</v>
      </c>
      <c r="C150">
        <v>2019</v>
      </c>
      <c r="D150">
        <f>TouristExpense[[#This Row],[Year]]+543</f>
        <v>2562</v>
      </c>
      <c r="E150" s="16">
        <v>14776.71</v>
      </c>
      <c r="F150">
        <v>170.76000000000002</v>
      </c>
      <c r="G150" s="15">
        <f>TouristExpense[[#This Row],[Medical Expense]]/TouristExpense[[#This Row],[Total Expense]]</f>
        <v>1.1556022957749055E-2</v>
      </c>
    </row>
    <row r="151" spans="1:7">
      <c r="A151" t="s">
        <v>55</v>
      </c>
      <c r="B151" t="s">
        <v>57</v>
      </c>
      <c r="C151">
        <v>2019</v>
      </c>
      <c r="D151">
        <f>TouristExpense[[#This Row],[Year]]+543</f>
        <v>2562</v>
      </c>
      <c r="E151" s="16">
        <v>11181.5</v>
      </c>
      <c r="F151">
        <v>92.75</v>
      </c>
      <c r="G151" s="15">
        <f>TouristExpense[[#This Row],[Medical Expense]]/TouristExpense[[#This Row],[Total Expense]]</f>
        <v>8.2949514823592533E-3</v>
      </c>
    </row>
    <row r="152" spans="1:7">
      <c r="A152" t="s">
        <v>58</v>
      </c>
      <c r="B152" t="s">
        <v>59</v>
      </c>
      <c r="C152">
        <v>2019</v>
      </c>
      <c r="D152">
        <f>TouristExpense[[#This Row],[Year]]+543</f>
        <v>2562</v>
      </c>
      <c r="E152" s="16">
        <v>32008.290000000005</v>
      </c>
      <c r="F152">
        <v>206.82999999999998</v>
      </c>
      <c r="G152" s="15">
        <f>TouristExpense[[#This Row],[Medical Expense]]/TouristExpense[[#This Row],[Total Expense]]</f>
        <v>6.4617634993934369E-3</v>
      </c>
    </row>
    <row r="153" spans="1:7">
      <c r="A153" t="s">
        <v>58</v>
      </c>
      <c r="B153" t="s">
        <v>60</v>
      </c>
      <c r="C153">
        <v>2019</v>
      </c>
      <c r="D153">
        <f>TouristExpense[[#This Row],[Year]]+543</f>
        <v>2562</v>
      </c>
      <c r="E153" s="16">
        <v>13826.12</v>
      </c>
      <c r="F153">
        <v>149.97000000000003</v>
      </c>
      <c r="G153" s="15">
        <f>TouristExpense[[#This Row],[Medical Expense]]/TouristExpense[[#This Row],[Total Expense]]</f>
        <v>1.0846860869137546E-2</v>
      </c>
    </row>
    <row r="154" spans="1:7">
      <c r="A154" t="s">
        <v>61</v>
      </c>
      <c r="B154" t="s">
        <v>62</v>
      </c>
      <c r="C154">
        <v>2019</v>
      </c>
      <c r="D154">
        <f>TouristExpense[[#This Row],[Year]]+543</f>
        <v>2562</v>
      </c>
      <c r="E154" s="16">
        <v>17636.96</v>
      </c>
      <c r="F154">
        <v>392.07</v>
      </c>
      <c r="G154" s="15">
        <f>TouristExpense[[#This Row],[Medical Expense]]/TouristExpense[[#This Row],[Total Expense]]</f>
        <v>2.2230021500303909E-2</v>
      </c>
    </row>
    <row r="155" spans="1:7">
      <c r="A155" t="s">
        <v>61</v>
      </c>
      <c r="B155" t="s">
        <v>63</v>
      </c>
      <c r="C155">
        <v>2019</v>
      </c>
      <c r="D155">
        <f>TouristExpense[[#This Row],[Year]]+543</f>
        <v>2562</v>
      </c>
      <c r="E155" s="16">
        <v>76819.240000000005</v>
      </c>
      <c r="F155">
        <v>1279.49</v>
      </c>
      <c r="G155" s="15">
        <f>TouristExpense[[#This Row],[Medical Expense]]/TouristExpense[[#This Row],[Total Expense]]</f>
        <v>1.6655853403392169E-2</v>
      </c>
    </row>
    <row r="156" spans="1:7">
      <c r="A156" t="s">
        <v>61</v>
      </c>
      <c r="B156" t="s">
        <v>64</v>
      </c>
      <c r="C156">
        <v>2019</v>
      </c>
      <c r="D156">
        <f>TouristExpense[[#This Row],[Year]]+543</f>
        <v>2562</v>
      </c>
      <c r="E156" s="16">
        <v>1799.1899999999998</v>
      </c>
      <c r="F156">
        <v>7.85</v>
      </c>
      <c r="G156" s="15">
        <f>TouristExpense[[#This Row],[Medical Expense]]/TouristExpense[[#This Row],[Total Expense]]</f>
        <v>4.3630744946336966E-3</v>
      </c>
    </row>
    <row r="157" spans="1:7">
      <c r="A157" t="s">
        <v>61</v>
      </c>
      <c r="B157" t="s">
        <v>65</v>
      </c>
      <c r="C157">
        <v>2019</v>
      </c>
      <c r="D157">
        <f>TouristExpense[[#This Row],[Year]]+543</f>
        <v>2562</v>
      </c>
      <c r="E157" s="16">
        <v>3679.45</v>
      </c>
      <c r="F157">
        <v>34.08</v>
      </c>
      <c r="G157" s="15">
        <f>TouristExpense[[#This Row],[Medical Expense]]/TouristExpense[[#This Row],[Total Expense]]</f>
        <v>9.2622538694641862E-3</v>
      </c>
    </row>
    <row r="158" spans="1:7">
      <c r="A158" t="s">
        <v>61</v>
      </c>
      <c r="B158" t="s">
        <v>66</v>
      </c>
      <c r="C158">
        <v>2019</v>
      </c>
      <c r="D158">
        <f>TouristExpense[[#This Row],[Year]]+543</f>
        <v>2562</v>
      </c>
      <c r="E158" s="16">
        <v>5153.1500000000005</v>
      </c>
      <c r="F158">
        <v>28.849999999999998</v>
      </c>
      <c r="G158" s="15">
        <f>TouristExpense[[#This Row],[Medical Expense]]/TouristExpense[[#This Row],[Total Expense]]</f>
        <v>5.5985174116802332E-3</v>
      </c>
    </row>
    <row r="159" spans="1:7">
      <c r="A159" t="s">
        <v>67</v>
      </c>
      <c r="B159" t="s">
        <v>68</v>
      </c>
      <c r="C159">
        <v>2019</v>
      </c>
      <c r="D159">
        <f>TouristExpense[[#This Row],[Year]]+543</f>
        <v>2562</v>
      </c>
      <c r="E159" s="16">
        <v>5730.5499999999993</v>
      </c>
      <c r="F159">
        <v>57.9</v>
      </c>
      <c r="G159" s="15">
        <f>TouristExpense[[#This Row],[Medical Expense]]/TouristExpense[[#This Row],[Total Expense]]</f>
        <v>1.0103742223695807E-2</v>
      </c>
    </row>
    <row r="160" spans="1:7">
      <c r="A160" t="s">
        <v>67</v>
      </c>
      <c r="B160" t="s">
        <v>69</v>
      </c>
      <c r="C160">
        <v>2019</v>
      </c>
      <c r="D160">
        <f>TouristExpense[[#This Row],[Year]]+543</f>
        <v>2562</v>
      </c>
      <c r="E160" s="16">
        <v>7574.0999999999995</v>
      </c>
      <c r="F160">
        <v>267.07</v>
      </c>
      <c r="G160" s="15">
        <f>TouristExpense[[#This Row],[Medical Expense]]/TouristExpense[[#This Row],[Total Expense]]</f>
        <v>3.5260955096975223E-2</v>
      </c>
    </row>
    <row r="161" spans="1:7">
      <c r="A161" t="s">
        <v>5</v>
      </c>
      <c r="B161" t="s">
        <v>6</v>
      </c>
      <c r="C161">
        <v>2020</v>
      </c>
      <c r="D161">
        <f>TouristExpense[[#This Row],[Year]]+543</f>
        <v>2563</v>
      </c>
      <c r="E161" s="16">
        <v>167.03999999999996</v>
      </c>
      <c r="F161">
        <v>0.44</v>
      </c>
      <c r="G161" s="15">
        <f>TouristExpense[[#This Row],[Medical Expense]]/TouristExpense[[#This Row],[Total Expense]]</f>
        <v>2.6340996168582381E-3</v>
      </c>
    </row>
    <row r="162" spans="1:7">
      <c r="A162" t="s">
        <v>5</v>
      </c>
      <c r="B162" t="s">
        <v>7</v>
      </c>
      <c r="C162">
        <v>2020</v>
      </c>
      <c r="D162">
        <f>TouristExpense[[#This Row],[Year]]+543</f>
        <v>2563</v>
      </c>
      <c r="E162" s="16">
        <v>10023.970000000001</v>
      </c>
      <c r="F162">
        <v>1740.47</v>
      </c>
      <c r="G162" s="15">
        <f>TouristExpense[[#This Row],[Medical Expense]]/TouristExpense[[#This Row],[Total Expense]]</f>
        <v>0.17363080695572711</v>
      </c>
    </row>
    <row r="163" spans="1:7">
      <c r="A163" t="s">
        <v>5</v>
      </c>
      <c r="B163" t="s">
        <v>8</v>
      </c>
      <c r="C163">
        <v>2020</v>
      </c>
      <c r="D163">
        <f>TouristExpense[[#This Row],[Year]]+543</f>
        <v>2563</v>
      </c>
      <c r="E163" s="16">
        <v>2644.0100000000007</v>
      </c>
      <c r="F163">
        <v>9.06</v>
      </c>
      <c r="G163" s="15">
        <f>TouristExpense[[#This Row],[Medical Expense]]/TouristExpense[[#This Row],[Total Expense]]</f>
        <v>3.4266133637921182E-3</v>
      </c>
    </row>
    <row r="164" spans="1:7">
      <c r="A164" t="s">
        <v>5</v>
      </c>
      <c r="B164" t="s">
        <v>9</v>
      </c>
      <c r="C164">
        <v>2020</v>
      </c>
      <c r="D164">
        <f>TouristExpense[[#This Row],[Year]]+543</f>
        <v>2563</v>
      </c>
      <c r="E164" s="16">
        <v>13435.610000000002</v>
      </c>
      <c r="F164">
        <v>1556.12</v>
      </c>
      <c r="G164" s="15">
        <f>TouristExpense[[#This Row],[Medical Expense]]/TouristExpense[[#This Row],[Total Expense]]</f>
        <v>0.11582056936752404</v>
      </c>
    </row>
    <row r="165" spans="1:7">
      <c r="A165" t="s">
        <v>5</v>
      </c>
      <c r="B165" t="s">
        <v>10</v>
      </c>
      <c r="C165">
        <v>2020</v>
      </c>
      <c r="D165">
        <f>TouristExpense[[#This Row],[Year]]+543</f>
        <v>2563</v>
      </c>
      <c r="E165" s="16">
        <v>17492.989999999998</v>
      </c>
      <c r="F165">
        <v>149.64000000000001</v>
      </c>
      <c r="G165" s="15">
        <f>TouristExpense[[#This Row],[Medical Expense]]/TouristExpense[[#This Row],[Total Expense]]</f>
        <v>8.5542837445170914E-3</v>
      </c>
    </row>
    <row r="166" spans="1:7">
      <c r="A166" t="s">
        <v>5</v>
      </c>
      <c r="B166" t="s">
        <v>11</v>
      </c>
      <c r="C166">
        <v>2020</v>
      </c>
      <c r="D166">
        <f>TouristExpense[[#This Row],[Year]]+543</f>
        <v>2563</v>
      </c>
      <c r="E166" s="16">
        <v>2630.88</v>
      </c>
      <c r="F166">
        <v>331.80999999999995</v>
      </c>
      <c r="G166" s="15">
        <f>TouristExpense[[#This Row],[Medical Expense]]/TouristExpense[[#This Row],[Total Expense]]</f>
        <v>0.12612129781670009</v>
      </c>
    </row>
    <row r="167" spans="1:7">
      <c r="A167" t="s">
        <v>5</v>
      </c>
      <c r="B167" t="s">
        <v>12</v>
      </c>
      <c r="C167">
        <v>2020</v>
      </c>
      <c r="D167">
        <f>TouristExpense[[#This Row],[Year]]+543</f>
        <v>2563</v>
      </c>
      <c r="E167" s="16">
        <v>5870.39</v>
      </c>
      <c r="F167">
        <v>533.63</v>
      </c>
      <c r="G167" s="15">
        <f>TouristExpense[[#This Row],[Medical Expense]]/TouristExpense[[#This Row],[Total Expense]]</f>
        <v>9.0901967330960967E-2</v>
      </c>
    </row>
    <row r="168" spans="1:7">
      <c r="A168" t="s">
        <v>5</v>
      </c>
      <c r="B168" t="s">
        <v>13</v>
      </c>
      <c r="C168">
        <v>2020</v>
      </c>
      <c r="D168">
        <f>TouristExpense[[#This Row],[Year]]+543</f>
        <v>2563</v>
      </c>
      <c r="E168" s="16">
        <v>4442.3399999999992</v>
      </c>
      <c r="F168">
        <v>12.62</v>
      </c>
      <c r="G168" s="15">
        <f>TouristExpense[[#This Row],[Medical Expense]]/TouristExpense[[#This Row],[Total Expense]]</f>
        <v>2.8408451401738728E-3</v>
      </c>
    </row>
    <row r="169" spans="1:7">
      <c r="A169" t="s">
        <v>5</v>
      </c>
      <c r="B169" t="s">
        <v>14</v>
      </c>
      <c r="C169">
        <v>2020</v>
      </c>
      <c r="D169">
        <f>TouristExpense[[#This Row],[Year]]+543</f>
        <v>2563</v>
      </c>
      <c r="E169" s="16">
        <v>6468.89</v>
      </c>
      <c r="F169">
        <v>134.81</v>
      </c>
      <c r="G169" s="15">
        <f>TouristExpense[[#This Row],[Medical Expense]]/TouristExpense[[#This Row],[Total Expense]]</f>
        <v>2.0839742212342457E-2</v>
      </c>
    </row>
    <row r="170" spans="1:7">
      <c r="A170" t="s">
        <v>15</v>
      </c>
      <c r="B170" t="s">
        <v>16</v>
      </c>
      <c r="C170">
        <v>2020</v>
      </c>
      <c r="D170">
        <f>TouristExpense[[#This Row],[Year]]+543</f>
        <v>2563</v>
      </c>
      <c r="E170" s="16">
        <v>69719.61</v>
      </c>
      <c r="F170">
        <v>352.65999999999997</v>
      </c>
      <c r="G170" s="15">
        <f>TouristExpense[[#This Row],[Medical Expense]]/TouristExpense[[#This Row],[Total Expense]]</f>
        <v>5.0582612266477098E-3</v>
      </c>
    </row>
    <row r="171" spans="1:7">
      <c r="A171" t="s">
        <v>15</v>
      </c>
      <c r="B171" t="s">
        <v>17</v>
      </c>
      <c r="C171">
        <v>2020</v>
      </c>
      <c r="D171">
        <f>TouristExpense[[#This Row],[Year]]+543</f>
        <v>2563</v>
      </c>
      <c r="E171" s="16">
        <v>5578.619999999999</v>
      </c>
      <c r="F171">
        <v>27.15</v>
      </c>
      <c r="G171" s="15">
        <f>TouristExpense[[#This Row],[Medical Expense]]/TouristExpense[[#This Row],[Total Expense]]</f>
        <v>4.8667950138206227E-3</v>
      </c>
    </row>
    <row r="172" spans="1:7">
      <c r="A172" t="s">
        <v>15</v>
      </c>
      <c r="B172" t="s">
        <v>18</v>
      </c>
      <c r="C172">
        <v>2020</v>
      </c>
      <c r="D172">
        <f>TouristExpense[[#This Row],[Year]]+543</f>
        <v>2563</v>
      </c>
      <c r="E172" s="16">
        <v>15044.150000000001</v>
      </c>
      <c r="F172">
        <v>359.31</v>
      </c>
      <c r="G172" s="15">
        <f>TouristExpense[[#This Row],[Medical Expense]]/TouristExpense[[#This Row],[Total Expense]]</f>
        <v>2.3883702302888495E-2</v>
      </c>
    </row>
    <row r="173" spans="1:7">
      <c r="A173" t="s">
        <v>15</v>
      </c>
      <c r="B173" t="s">
        <v>19</v>
      </c>
      <c r="C173">
        <v>2020</v>
      </c>
      <c r="D173">
        <f>TouristExpense[[#This Row],[Year]]+543</f>
        <v>2563</v>
      </c>
      <c r="E173" s="16">
        <v>13131.729999999998</v>
      </c>
      <c r="F173">
        <v>135.55000000000001</v>
      </c>
      <c r="G173" s="15">
        <f>TouristExpense[[#This Row],[Medical Expense]]/TouristExpense[[#This Row],[Total Expense]]</f>
        <v>1.0322326151999777E-2</v>
      </c>
    </row>
    <row r="174" spans="1:7">
      <c r="A174" t="s">
        <v>15</v>
      </c>
      <c r="B174" t="s">
        <v>20</v>
      </c>
      <c r="C174">
        <v>2020</v>
      </c>
      <c r="D174">
        <f>TouristExpense[[#This Row],[Year]]+543</f>
        <v>2563</v>
      </c>
      <c r="E174" s="16">
        <v>5411.47</v>
      </c>
      <c r="F174">
        <v>24.91</v>
      </c>
      <c r="G174" s="15">
        <f>TouristExpense[[#This Row],[Medical Expense]]/TouristExpense[[#This Row],[Total Expense]]</f>
        <v>4.6031854560775534E-3</v>
      </c>
    </row>
    <row r="175" spans="1:7">
      <c r="A175" t="s">
        <v>15</v>
      </c>
      <c r="B175" t="s">
        <v>21</v>
      </c>
      <c r="C175">
        <v>2020</v>
      </c>
      <c r="D175">
        <f>TouristExpense[[#This Row],[Year]]+543</f>
        <v>2563</v>
      </c>
      <c r="E175" s="16">
        <v>1323.6699999999996</v>
      </c>
      <c r="F175">
        <v>11.26</v>
      </c>
      <c r="G175" s="15">
        <f>TouristExpense[[#This Row],[Medical Expense]]/TouristExpense[[#This Row],[Total Expense]]</f>
        <v>8.5066519600806873E-3</v>
      </c>
    </row>
    <row r="176" spans="1:7">
      <c r="A176" t="s">
        <v>22</v>
      </c>
      <c r="B176" t="s">
        <v>23</v>
      </c>
      <c r="C176">
        <v>2020</v>
      </c>
      <c r="D176">
        <f>TouristExpense[[#This Row],[Year]]+543</f>
        <v>2563</v>
      </c>
      <c r="E176" s="16">
        <v>1698.1400000000003</v>
      </c>
      <c r="F176">
        <v>316.27999999999997</v>
      </c>
      <c r="G176" s="15">
        <f>TouristExpense[[#This Row],[Medical Expense]]/TouristExpense[[#This Row],[Total Expense]]</f>
        <v>0.18625083915342663</v>
      </c>
    </row>
    <row r="177" spans="1:7">
      <c r="A177" t="s">
        <v>22</v>
      </c>
      <c r="B177" t="s">
        <v>24</v>
      </c>
      <c r="C177">
        <v>2020</v>
      </c>
      <c r="D177">
        <f>TouristExpense[[#This Row],[Year]]+543</f>
        <v>2563</v>
      </c>
      <c r="E177" s="16">
        <v>9744.33</v>
      </c>
      <c r="F177">
        <v>89.05</v>
      </c>
      <c r="G177" s="15">
        <f>TouristExpense[[#This Row],[Medical Expense]]/TouristExpense[[#This Row],[Total Expense]]</f>
        <v>9.1386478085204413E-3</v>
      </c>
    </row>
    <row r="178" spans="1:7">
      <c r="A178" t="s">
        <v>22</v>
      </c>
      <c r="B178" t="s">
        <v>25</v>
      </c>
      <c r="C178">
        <v>2020</v>
      </c>
      <c r="D178">
        <f>TouristExpense[[#This Row],[Year]]+543</f>
        <v>2563</v>
      </c>
      <c r="E178" s="16">
        <v>566.01</v>
      </c>
      <c r="F178">
        <v>4.88</v>
      </c>
      <c r="G178" s="15">
        <f>TouristExpense[[#This Row],[Medical Expense]]/TouristExpense[[#This Row],[Total Expense]]</f>
        <v>8.6217557993675028E-3</v>
      </c>
    </row>
    <row r="179" spans="1:7">
      <c r="A179" t="s">
        <v>22</v>
      </c>
      <c r="B179" t="s">
        <v>26</v>
      </c>
      <c r="C179">
        <v>2020</v>
      </c>
      <c r="D179">
        <f>TouristExpense[[#This Row],[Year]]+543</f>
        <v>2563</v>
      </c>
      <c r="E179" s="16">
        <v>805.31</v>
      </c>
      <c r="F179">
        <v>5.41</v>
      </c>
      <c r="G179" s="15">
        <f>TouristExpense[[#This Row],[Medical Expense]]/TouristExpense[[#This Row],[Total Expense]]</f>
        <v>6.7179098732165262E-3</v>
      </c>
    </row>
    <row r="180" spans="1:7">
      <c r="A180" t="s">
        <v>22</v>
      </c>
      <c r="B180" t="s">
        <v>27</v>
      </c>
      <c r="C180">
        <v>2020</v>
      </c>
      <c r="D180">
        <f>TouristExpense[[#This Row],[Year]]+543</f>
        <v>2563</v>
      </c>
      <c r="E180" s="16">
        <v>458.07</v>
      </c>
      <c r="F180">
        <v>2.81</v>
      </c>
      <c r="G180" s="15">
        <f>TouristExpense[[#This Row],[Medical Expense]]/TouristExpense[[#This Row],[Total Expense]]</f>
        <v>6.1344336018512458E-3</v>
      </c>
    </row>
    <row r="181" spans="1:7">
      <c r="A181" t="s">
        <v>22</v>
      </c>
      <c r="B181" t="s">
        <v>28</v>
      </c>
      <c r="C181">
        <v>2020</v>
      </c>
      <c r="D181">
        <f>TouristExpense[[#This Row],[Year]]+543</f>
        <v>2563</v>
      </c>
      <c r="E181" s="16">
        <v>704.79000000000019</v>
      </c>
      <c r="F181">
        <v>7.7899999999999991</v>
      </c>
      <c r="G181" s="15">
        <f>TouristExpense[[#This Row],[Medical Expense]]/TouristExpense[[#This Row],[Total Expense]]</f>
        <v>1.105293775450843E-2</v>
      </c>
    </row>
    <row r="182" spans="1:7">
      <c r="A182" t="s">
        <v>29</v>
      </c>
      <c r="B182" t="s">
        <v>30</v>
      </c>
      <c r="C182">
        <v>2020</v>
      </c>
      <c r="D182">
        <f>TouristExpense[[#This Row],[Year]]+543</f>
        <v>2563</v>
      </c>
      <c r="E182" s="16">
        <v>6347.5800000000008</v>
      </c>
      <c r="F182">
        <v>120.33</v>
      </c>
      <c r="G182" s="15">
        <f>TouristExpense[[#This Row],[Medical Expense]]/TouristExpense[[#This Row],[Total Expense]]</f>
        <v>1.8956830792207422E-2</v>
      </c>
    </row>
    <row r="183" spans="1:7">
      <c r="A183" t="s">
        <v>29</v>
      </c>
      <c r="B183" t="s">
        <v>120</v>
      </c>
      <c r="C183">
        <v>2020</v>
      </c>
      <c r="D183">
        <f>TouristExpense[[#This Row],[Year]]+543</f>
        <v>2563</v>
      </c>
      <c r="E183" s="16">
        <v>1122.1299999999999</v>
      </c>
      <c r="F183">
        <v>19.809999999999999</v>
      </c>
      <c r="G183" s="15">
        <f>TouristExpense[[#This Row],[Medical Expense]]/TouristExpense[[#This Row],[Total Expense]]</f>
        <v>1.765392601570228E-2</v>
      </c>
    </row>
    <row r="184" spans="1:7">
      <c r="A184" t="s">
        <v>29</v>
      </c>
      <c r="B184" t="s">
        <v>32</v>
      </c>
      <c r="C184">
        <v>2020</v>
      </c>
      <c r="D184">
        <f>TouristExpense[[#This Row],[Year]]+543</f>
        <v>2563</v>
      </c>
      <c r="E184" s="16">
        <v>46.559999999999995</v>
      </c>
      <c r="F184">
        <v>1.81</v>
      </c>
      <c r="G184" s="15">
        <f>TouristExpense[[#This Row],[Medical Expense]]/TouristExpense[[#This Row],[Total Expense]]</f>
        <v>3.8874570446735403E-2</v>
      </c>
    </row>
    <row r="185" spans="1:7">
      <c r="A185" t="s">
        <v>33</v>
      </c>
      <c r="B185" t="s">
        <v>34</v>
      </c>
      <c r="C185">
        <v>2020</v>
      </c>
      <c r="D185">
        <f>TouristExpense[[#This Row],[Year]]+543</f>
        <v>2563</v>
      </c>
      <c r="E185" s="16">
        <v>290.94</v>
      </c>
      <c r="F185">
        <v>3.95</v>
      </c>
      <c r="G185" s="15">
        <f>TouristExpense[[#This Row],[Medical Expense]]/TouristExpense[[#This Row],[Total Expense]]</f>
        <v>1.3576682477486769E-2</v>
      </c>
    </row>
    <row r="186" spans="1:7">
      <c r="A186" t="s">
        <v>33</v>
      </c>
      <c r="B186" t="s">
        <v>35</v>
      </c>
      <c r="C186">
        <v>2020</v>
      </c>
      <c r="D186">
        <f>TouristExpense[[#This Row],[Year]]+543</f>
        <v>2563</v>
      </c>
      <c r="E186" s="16">
        <v>1909.63</v>
      </c>
      <c r="F186">
        <v>412.42</v>
      </c>
      <c r="G186" s="15">
        <f>TouristExpense[[#This Row],[Medical Expense]]/TouristExpense[[#This Row],[Total Expense]]</f>
        <v>0.21596853840796384</v>
      </c>
    </row>
    <row r="187" spans="1:7">
      <c r="A187" t="s">
        <v>33</v>
      </c>
      <c r="B187" t="s">
        <v>119</v>
      </c>
      <c r="C187">
        <v>2020</v>
      </c>
      <c r="D187">
        <f>TouristExpense[[#This Row],[Year]]+543</f>
        <v>2563</v>
      </c>
      <c r="E187" s="16">
        <v>637.85000000000014</v>
      </c>
      <c r="F187">
        <v>42.79</v>
      </c>
      <c r="G187" s="15">
        <f>TouristExpense[[#This Row],[Medical Expense]]/TouristExpense[[#This Row],[Total Expense]]</f>
        <v>6.7084737791016674E-2</v>
      </c>
    </row>
    <row r="188" spans="1:7">
      <c r="A188" t="s">
        <v>33</v>
      </c>
      <c r="B188" t="s">
        <v>37</v>
      </c>
      <c r="C188">
        <v>2020</v>
      </c>
      <c r="D188">
        <f>TouristExpense[[#This Row],[Year]]+543</f>
        <v>2563</v>
      </c>
      <c r="E188" s="16">
        <v>1053.82</v>
      </c>
      <c r="F188">
        <v>46.580000000000005</v>
      </c>
      <c r="G188" s="15">
        <f>TouristExpense[[#This Row],[Medical Expense]]/TouristExpense[[#This Row],[Total Expense]]</f>
        <v>4.4201096961530441E-2</v>
      </c>
    </row>
    <row r="189" spans="1:7">
      <c r="A189" t="s">
        <v>33</v>
      </c>
      <c r="B189" t="s">
        <v>38</v>
      </c>
      <c r="C189">
        <v>2020</v>
      </c>
      <c r="D189">
        <f>TouristExpense[[#This Row],[Year]]+543</f>
        <v>2563</v>
      </c>
      <c r="E189" s="16">
        <v>2151.09</v>
      </c>
      <c r="F189">
        <v>76.289999999999992</v>
      </c>
      <c r="G189" s="15">
        <f>TouristExpense[[#This Row],[Medical Expense]]/TouristExpense[[#This Row],[Total Expense]]</f>
        <v>3.5465740624520584E-2</v>
      </c>
    </row>
    <row r="190" spans="1:7">
      <c r="A190" t="s">
        <v>39</v>
      </c>
      <c r="B190" t="s">
        <v>40</v>
      </c>
      <c r="C190">
        <v>2020</v>
      </c>
      <c r="D190">
        <f>TouristExpense[[#This Row],[Year]]+543</f>
        <v>2563</v>
      </c>
      <c r="E190" s="16">
        <v>5631.2000000000007</v>
      </c>
      <c r="F190">
        <v>22.75</v>
      </c>
      <c r="G190" s="15">
        <f>TouristExpense[[#This Row],[Medical Expense]]/TouristExpense[[#This Row],[Total Expense]]</f>
        <v>4.0399914760619405E-3</v>
      </c>
    </row>
    <row r="191" spans="1:7">
      <c r="A191" t="s">
        <v>39</v>
      </c>
      <c r="B191" t="s">
        <v>41</v>
      </c>
      <c r="C191">
        <v>2020</v>
      </c>
      <c r="D191">
        <f>TouristExpense[[#This Row],[Year]]+543</f>
        <v>2563</v>
      </c>
      <c r="E191" s="16">
        <v>5021.13</v>
      </c>
      <c r="F191">
        <v>33.31</v>
      </c>
      <c r="G191" s="15">
        <f>TouristExpense[[#This Row],[Medical Expense]]/TouristExpense[[#This Row],[Total Expense]]</f>
        <v>6.6339648644826964E-3</v>
      </c>
    </row>
    <row r="192" spans="1:7">
      <c r="A192" t="s">
        <v>39</v>
      </c>
      <c r="B192" t="s">
        <v>42</v>
      </c>
      <c r="C192">
        <v>2020</v>
      </c>
      <c r="D192">
        <f>TouristExpense[[#This Row],[Year]]+543</f>
        <v>2563</v>
      </c>
      <c r="E192" s="16">
        <v>3959.64</v>
      </c>
      <c r="F192">
        <v>46.6</v>
      </c>
      <c r="G192" s="15">
        <f>TouristExpense[[#This Row],[Medical Expense]]/TouristExpense[[#This Row],[Total Expense]]</f>
        <v>1.1768746653736199E-2</v>
      </c>
    </row>
    <row r="193" spans="1:7">
      <c r="A193" t="s">
        <v>39</v>
      </c>
      <c r="B193" t="s">
        <v>43</v>
      </c>
      <c r="C193">
        <v>2020</v>
      </c>
      <c r="D193">
        <f>TouristExpense[[#This Row],[Year]]+543</f>
        <v>2563</v>
      </c>
      <c r="E193" s="16">
        <v>7274.18</v>
      </c>
      <c r="F193">
        <v>58.7</v>
      </c>
      <c r="G193" s="15">
        <f>TouristExpense[[#This Row],[Medical Expense]]/TouristExpense[[#This Row],[Total Expense]]</f>
        <v>8.0696380897915636E-3</v>
      </c>
    </row>
    <row r="194" spans="1:7">
      <c r="A194" t="s">
        <v>39</v>
      </c>
      <c r="B194" t="s">
        <v>118</v>
      </c>
      <c r="C194">
        <v>2020</v>
      </c>
      <c r="D194">
        <f>TouristExpense[[#This Row],[Year]]+543</f>
        <v>2563</v>
      </c>
      <c r="E194" s="16">
        <v>15478.36</v>
      </c>
      <c r="F194">
        <v>277.36</v>
      </c>
      <c r="G194" s="15">
        <f>TouristExpense[[#This Row],[Medical Expense]]/TouristExpense[[#This Row],[Total Expense]]</f>
        <v>1.7919211079209942E-2</v>
      </c>
    </row>
    <row r="195" spans="1:7">
      <c r="A195" t="s">
        <v>45</v>
      </c>
      <c r="B195" t="s">
        <v>46</v>
      </c>
      <c r="C195">
        <v>2020</v>
      </c>
      <c r="D195">
        <f>TouristExpense[[#This Row],[Year]]+543</f>
        <v>2563</v>
      </c>
      <c r="E195" s="16">
        <v>2410.5300000000002</v>
      </c>
      <c r="F195">
        <v>21.58</v>
      </c>
      <c r="G195" s="15">
        <f>TouristExpense[[#This Row],[Medical Expense]]/TouristExpense[[#This Row],[Total Expense]]</f>
        <v>8.9523880640357094E-3</v>
      </c>
    </row>
    <row r="196" spans="1:7">
      <c r="A196" t="s">
        <v>45</v>
      </c>
      <c r="B196" t="s">
        <v>47</v>
      </c>
      <c r="C196">
        <v>2020</v>
      </c>
      <c r="D196">
        <f>TouristExpense[[#This Row],[Year]]+543</f>
        <v>2563</v>
      </c>
      <c r="E196" s="16">
        <v>2380.4</v>
      </c>
      <c r="F196">
        <v>35.72</v>
      </c>
      <c r="G196" s="15">
        <f>TouristExpense[[#This Row],[Medical Expense]]/TouristExpense[[#This Row],[Total Expense]]</f>
        <v>1.5005881364476557E-2</v>
      </c>
    </row>
    <row r="197" spans="1:7">
      <c r="A197" t="s">
        <v>45</v>
      </c>
      <c r="B197" t="s">
        <v>48</v>
      </c>
      <c r="C197">
        <v>2020</v>
      </c>
      <c r="D197">
        <f>TouristExpense[[#This Row],[Year]]+543</f>
        <v>2563</v>
      </c>
      <c r="E197" s="16">
        <v>14764.920000000002</v>
      </c>
      <c r="F197">
        <v>261.76</v>
      </c>
      <c r="G197" s="15">
        <f>TouristExpense[[#This Row],[Medical Expense]]/TouristExpense[[#This Row],[Total Expense]]</f>
        <v>1.7728507841559587E-2</v>
      </c>
    </row>
    <row r="198" spans="1:7">
      <c r="A198" t="s">
        <v>45</v>
      </c>
      <c r="B198" t="s">
        <v>49</v>
      </c>
      <c r="C198">
        <v>2020</v>
      </c>
      <c r="D198">
        <f>TouristExpense[[#This Row],[Year]]+543</f>
        <v>2563</v>
      </c>
      <c r="E198" s="16">
        <v>12859.519999999999</v>
      </c>
      <c r="F198">
        <v>127.44999999999999</v>
      </c>
      <c r="G198" s="15">
        <f>TouristExpense[[#This Row],[Medical Expense]]/TouristExpense[[#This Row],[Total Expense]]</f>
        <v>9.9109453541034193E-3</v>
      </c>
    </row>
    <row r="199" spans="1:7">
      <c r="A199" t="s">
        <v>45</v>
      </c>
      <c r="B199" t="s">
        <v>50</v>
      </c>
      <c r="C199">
        <v>2020</v>
      </c>
      <c r="D199">
        <f>TouristExpense[[#This Row],[Year]]+543</f>
        <v>2563</v>
      </c>
      <c r="E199" s="16">
        <v>3890.9500000000007</v>
      </c>
      <c r="F199">
        <v>35.339999999999996</v>
      </c>
      <c r="G199" s="15">
        <f>TouristExpense[[#This Row],[Medical Expense]]/TouristExpense[[#This Row],[Total Expense]]</f>
        <v>9.0826147855922051E-3</v>
      </c>
    </row>
    <row r="200" spans="1:7">
      <c r="A200" t="s">
        <v>45</v>
      </c>
      <c r="B200" t="s">
        <v>51</v>
      </c>
      <c r="C200">
        <v>2020</v>
      </c>
      <c r="D200">
        <f>TouristExpense[[#This Row],[Year]]+543</f>
        <v>2563</v>
      </c>
      <c r="E200" s="16">
        <v>4585.3500000000004</v>
      </c>
      <c r="F200">
        <v>50.319999999999993</v>
      </c>
      <c r="G200" s="15">
        <f>TouristExpense[[#This Row],[Medical Expense]]/TouristExpense[[#This Row],[Total Expense]]</f>
        <v>1.0974080495491072E-2</v>
      </c>
    </row>
    <row r="201" spans="1:7">
      <c r="A201" t="s">
        <v>52</v>
      </c>
      <c r="B201" t="s">
        <v>53</v>
      </c>
      <c r="C201">
        <v>2020</v>
      </c>
      <c r="D201">
        <f>TouristExpense[[#This Row],[Year]]+543</f>
        <v>2563</v>
      </c>
      <c r="E201" s="16">
        <v>34612.770000000004</v>
      </c>
      <c r="F201">
        <v>257.8</v>
      </c>
      <c r="G201" s="15">
        <f>TouristExpense[[#This Row],[Medical Expense]]/TouristExpense[[#This Row],[Total Expense]]</f>
        <v>7.448118136745484E-3</v>
      </c>
    </row>
    <row r="202" spans="1:7">
      <c r="A202" t="s">
        <v>33</v>
      </c>
      <c r="B202" t="s">
        <v>54</v>
      </c>
      <c r="C202">
        <v>2020</v>
      </c>
      <c r="D202">
        <f>TouristExpense[[#This Row],[Year]]+543</f>
        <v>2563</v>
      </c>
      <c r="E202" s="16">
        <v>1973.4700000000003</v>
      </c>
      <c r="F202">
        <v>17.09</v>
      </c>
      <c r="G202" s="15">
        <f>TouristExpense[[#This Row],[Medical Expense]]/TouristExpense[[#This Row],[Total Expense]]</f>
        <v>8.6598732182399524E-3</v>
      </c>
    </row>
    <row r="203" spans="1:7">
      <c r="A203" t="s">
        <v>55</v>
      </c>
      <c r="B203" t="s">
        <v>56</v>
      </c>
      <c r="C203">
        <v>2020</v>
      </c>
      <c r="D203">
        <f>TouristExpense[[#This Row],[Year]]+543</f>
        <v>2563</v>
      </c>
      <c r="E203" s="16">
        <v>3817.6600000000008</v>
      </c>
      <c r="F203">
        <v>106.28</v>
      </c>
      <c r="G203" s="15">
        <f>TouristExpense[[#This Row],[Medical Expense]]/TouristExpense[[#This Row],[Total Expense]]</f>
        <v>2.7839042764415893E-2</v>
      </c>
    </row>
    <row r="204" spans="1:7">
      <c r="A204" t="s">
        <v>55</v>
      </c>
      <c r="B204" t="s">
        <v>57</v>
      </c>
      <c r="C204">
        <v>2020</v>
      </c>
      <c r="D204">
        <f>TouristExpense[[#This Row],[Year]]+543</f>
        <v>2563</v>
      </c>
      <c r="E204" s="16">
        <v>1668.06</v>
      </c>
      <c r="F204">
        <v>29.740000000000002</v>
      </c>
      <c r="G204" s="15">
        <f>TouristExpense[[#This Row],[Medical Expense]]/TouristExpense[[#This Row],[Total Expense]]</f>
        <v>1.7829094876683094E-2</v>
      </c>
    </row>
    <row r="205" spans="1:7">
      <c r="A205" t="s">
        <v>58</v>
      </c>
      <c r="B205" t="s">
        <v>59</v>
      </c>
      <c r="C205">
        <v>2020</v>
      </c>
      <c r="D205">
        <f>TouristExpense[[#This Row],[Year]]+543</f>
        <v>2563</v>
      </c>
      <c r="E205" s="16">
        <v>10863.41</v>
      </c>
      <c r="F205">
        <v>75.680000000000007</v>
      </c>
      <c r="G205" s="15">
        <f>TouristExpense[[#This Row],[Medical Expense]]/TouristExpense[[#This Row],[Total Expense]]</f>
        <v>6.9665049924471237E-3</v>
      </c>
    </row>
    <row r="206" spans="1:7">
      <c r="A206" t="s">
        <v>58</v>
      </c>
      <c r="B206" t="s">
        <v>60</v>
      </c>
      <c r="C206">
        <v>2020</v>
      </c>
      <c r="D206">
        <f>TouristExpense[[#This Row],[Year]]+543</f>
        <v>2563</v>
      </c>
      <c r="E206" s="16">
        <v>3308.08</v>
      </c>
      <c r="F206">
        <v>25.229999999999997</v>
      </c>
      <c r="G206" s="15">
        <f>TouristExpense[[#This Row],[Medical Expense]]/TouristExpense[[#This Row],[Total Expense]]</f>
        <v>7.6267804889845461E-3</v>
      </c>
    </row>
    <row r="207" spans="1:7">
      <c r="A207" t="s">
        <v>61</v>
      </c>
      <c r="B207" t="s">
        <v>62</v>
      </c>
      <c r="C207">
        <v>2020</v>
      </c>
      <c r="D207">
        <f>TouristExpense[[#This Row],[Year]]+543</f>
        <v>2563</v>
      </c>
      <c r="E207" s="16">
        <v>3265.49</v>
      </c>
      <c r="F207">
        <v>62.97999999999999</v>
      </c>
      <c r="G207" s="15">
        <f>TouristExpense[[#This Row],[Medical Expense]]/TouristExpense[[#This Row],[Total Expense]]</f>
        <v>1.9286538926776686E-2</v>
      </c>
    </row>
    <row r="208" spans="1:7">
      <c r="A208" t="s">
        <v>61</v>
      </c>
      <c r="B208" t="s">
        <v>63</v>
      </c>
      <c r="C208">
        <v>2020</v>
      </c>
      <c r="D208">
        <f>TouristExpense[[#This Row],[Year]]+543</f>
        <v>2563</v>
      </c>
      <c r="E208" s="16">
        <v>11973.44</v>
      </c>
      <c r="F208">
        <v>93.22</v>
      </c>
      <c r="G208" s="15">
        <f>TouristExpense[[#This Row],[Medical Expense]]/TouristExpense[[#This Row],[Total Expense]]</f>
        <v>7.7855653847181761E-3</v>
      </c>
    </row>
    <row r="209" spans="1:7">
      <c r="A209" t="s">
        <v>61</v>
      </c>
      <c r="B209" t="s">
        <v>64</v>
      </c>
      <c r="C209">
        <v>2020</v>
      </c>
      <c r="D209">
        <f>TouristExpense[[#This Row],[Year]]+543</f>
        <v>2563</v>
      </c>
      <c r="E209" s="16">
        <v>645.84999999999991</v>
      </c>
      <c r="F209">
        <v>4.8099999999999996</v>
      </c>
      <c r="G209" s="15">
        <f>TouristExpense[[#This Row],[Medical Expense]]/TouristExpense[[#This Row],[Total Expense]]</f>
        <v>7.4475497406518544E-3</v>
      </c>
    </row>
    <row r="210" spans="1:7">
      <c r="A210" t="s">
        <v>61</v>
      </c>
      <c r="B210" t="s">
        <v>65</v>
      </c>
      <c r="C210">
        <v>2020</v>
      </c>
      <c r="D210">
        <f>TouristExpense[[#This Row],[Year]]+543</f>
        <v>2563</v>
      </c>
      <c r="E210" s="16">
        <v>999.02</v>
      </c>
      <c r="F210">
        <v>6.24</v>
      </c>
      <c r="G210" s="15">
        <f>TouristExpense[[#This Row],[Medical Expense]]/TouristExpense[[#This Row],[Total Expense]]</f>
        <v>6.2461211987747999E-3</v>
      </c>
    </row>
    <row r="211" spans="1:7">
      <c r="A211" t="s">
        <v>61</v>
      </c>
      <c r="B211" t="s">
        <v>66</v>
      </c>
      <c r="C211">
        <v>2020</v>
      </c>
      <c r="D211">
        <f>TouristExpense[[#This Row],[Year]]+543</f>
        <v>2563</v>
      </c>
      <c r="E211" s="16">
        <v>911.43</v>
      </c>
      <c r="F211">
        <v>8.5400000000000009</v>
      </c>
      <c r="G211" s="15">
        <f>TouristExpense[[#This Row],[Medical Expense]]/TouristExpense[[#This Row],[Total Expense]]</f>
        <v>9.3698912697629012E-3</v>
      </c>
    </row>
    <row r="212" spans="1:7">
      <c r="A212" t="s">
        <v>67</v>
      </c>
      <c r="B212" t="s">
        <v>68</v>
      </c>
      <c r="C212">
        <v>2020</v>
      </c>
      <c r="D212">
        <f>TouristExpense[[#This Row],[Year]]+543</f>
        <v>2563</v>
      </c>
      <c r="E212" s="16">
        <v>900.68999999999994</v>
      </c>
      <c r="F212">
        <v>11.07</v>
      </c>
      <c r="G212" s="15">
        <f>TouristExpense[[#This Row],[Medical Expense]]/TouristExpense[[#This Row],[Total Expense]]</f>
        <v>1.229057722412817E-2</v>
      </c>
    </row>
    <row r="213" spans="1:7">
      <c r="A213" t="s">
        <v>67</v>
      </c>
      <c r="B213" t="s">
        <v>69</v>
      </c>
      <c r="C213">
        <v>2020</v>
      </c>
      <c r="D213">
        <f>TouristExpense[[#This Row],[Year]]+543</f>
        <v>2563</v>
      </c>
      <c r="E213" s="16">
        <v>1250.26</v>
      </c>
      <c r="F213">
        <v>60.15</v>
      </c>
      <c r="G213" s="15">
        <f>TouristExpense[[#This Row],[Medical Expense]]/TouristExpense[[#This Row],[Total Expense]]</f>
        <v>4.8109993121430744E-2</v>
      </c>
    </row>
    <row r="214" spans="1:7">
      <c r="A214" t="s">
        <v>5</v>
      </c>
      <c r="B214" t="s">
        <v>6</v>
      </c>
      <c r="C214">
        <v>2021</v>
      </c>
      <c r="D214">
        <f>TouristExpense[[#This Row],[Year]]+543</f>
        <v>2564</v>
      </c>
      <c r="E214" s="16">
        <v>10.45</v>
      </c>
      <c r="F214">
        <v>0.19999999999999998</v>
      </c>
      <c r="G214" s="15">
        <f>TouristExpense[[#This Row],[Medical Expense]]/TouristExpense[[#This Row],[Total Expense]]</f>
        <v>1.9138755980861243E-2</v>
      </c>
    </row>
    <row r="215" spans="1:7">
      <c r="A215" t="s">
        <v>5</v>
      </c>
      <c r="B215" t="s">
        <v>7</v>
      </c>
      <c r="C215">
        <v>2021</v>
      </c>
      <c r="D215">
        <f>TouristExpense[[#This Row],[Year]]+543</f>
        <v>2564</v>
      </c>
      <c r="E215" s="16">
        <v>929.78</v>
      </c>
      <c r="F215">
        <v>52.660000000000004</v>
      </c>
      <c r="G215" s="15">
        <f>TouristExpense[[#This Row],[Medical Expense]]/TouristExpense[[#This Row],[Total Expense]]</f>
        <v>5.6637053926735362E-2</v>
      </c>
    </row>
    <row r="216" spans="1:7">
      <c r="A216" t="s">
        <v>5</v>
      </c>
      <c r="B216" t="s">
        <v>8</v>
      </c>
      <c r="C216">
        <v>2021</v>
      </c>
      <c r="D216">
        <f>TouristExpense[[#This Row],[Year]]+543</f>
        <v>2564</v>
      </c>
      <c r="E216" s="16">
        <v>904.2600000000001</v>
      </c>
      <c r="F216">
        <v>31.97</v>
      </c>
      <c r="G216" s="15">
        <f>TouristExpense[[#This Row],[Medical Expense]]/TouristExpense[[#This Row],[Total Expense]]</f>
        <v>3.5354875810054628E-2</v>
      </c>
    </row>
    <row r="217" spans="1:7">
      <c r="A217" t="s">
        <v>5</v>
      </c>
      <c r="B217" t="s">
        <v>9</v>
      </c>
      <c r="C217">
        <v>2021</v>
      </c>
      <c r="D217">
        <f>TouristExpense[[#This Row],[Year]]+543</f>
        <v>2564</v>
      </c>
      <c r="E217" s="16">
        <v>205.37000000000006</v>
      </c>
      <c r="F217">
        <v>7.2700000000000014</v>
      </c>
      <c r="G217" s="15">
        <f>TouristExpense[[#This Row],[Medical Expense]]/TouristExpense[[#This Row],[Total Expense]]</f>
        <v>3.5399522812484777E-2</v>
      </c>
    </row>
    <row r="218" spans="1:7">
      <c r="A218" t="s">
        <v>5</v>
      </c>
      <c r="B218" t="s">
        <v>10</v>
      </c>
      <c r="C218">
        <v>2021</v>
      </c>
      <c r="D218">
        <f>TouristExpense[[#This Row],[Year]]+543</f>
        <v>2564</v>
      </c>
      <c r="E218" s="16">
        <v>976.93</v>
      </c>
      <c r="F218">
        <v>29.509999999999998</v>
      </c>
      <c r="G218" s="15">
        <f>TouristExpense[[#This Row],[Medical Expense]]/TouristExpense[[#This Row],[Total Expense]]</f>
        <v>3.0206872549722086E-2</v>
      </c>
    </row>
    <row r="219" spans="1:7">
      <c r="A219" t="s">
        <v>5</v>
      </c>
      <c r="B219" t="s">
        <v>11</v>
      </c>
      <c r="C219">
        <v>2021</v>
      </c>
      <c r="D219">
        <f>TouristExpense[[#This Row],[Year]]+543</f>
        <v>2564</v>
      </c>
      <c r="E219" s="16">
        <v>1732.0299999999997</v>
      </c>
      <c r="F219">
        <v>109.57999999999998</v>
      </c>
      <c r="G219" s="15">
        <f>TouristExpense[[#This Row],[Medical Expense]]/TouristExpense[[#This Row],[Total Expense]]</f>
        <v>6.3266802538062272E-2</v>
      </c>
    </row>
    <row r="220" spans="1:7">
      <c r="A220" t="s">
        <v>5</v>
      </c>
      <c r="B220" t="s">
        <v>12</v>
      </c>
      <c r="C220">
        <v>2021</v>
      </c>
      <c r="D220">
        <f>TouristExpense[[#This Row],[Year]]+543</f>
        <v>2564</v>
      </c>
      <c r="E220" s="16">
        <v>1813.04</v>
      </c>
      <c r="F220">
        <v>76.17</v>
      </c>
      <c r="G220" s="15">
        <f>TouristExpense[[#This Row],[Medical Expense]]/TouristExpense[[#This Row],[Total Expense]]</f>
        <v>4.2012310814984778E-2</v>
      </c>
    </row>
    <row r="221" spans="1:7">
      <c r="A221" t="s">
        <v>5</v>
      </c>
      <c r="B221" t="s">
        <v>13</v>
      </c>
      <c r="C221">
        <v>2021</v>
      </c>
      <c r="D221">
        <f>TouristExpense[[#This Row],[Year]]+543</f>
        <v>2564</v>
      </c>
      <c r="E221" s="16">
        <v>738.30000000000007</v>
      </c>
      <c r="F221">
        <v>16.32</v>
      </c>
      <c r="G221" s="15">
        <f>TouristExpense[[#This Row],[Medical Expense]]/TouristExpense[[#This Row],[Total Expense]]</f>
        <v>2.2104835432750911E-2</v>
      </c>
    </row>
    <row r="222" spans="1:7">
      <c r="A222" t="s">
        <v>5</v>
      </c>
      <c r="B222" t="s">
        <v>14</v>
      </c>
      <c r="C222">
        <v>2021</v>
      </c>
      <c r="D222">
        <f>TouristExpense[[#This Row],[Year]]+543</f>
        <v>2564</v>
      </c>
      <c r="E222" s="16">
        <v>571.37</v>
      </c>
      <c r="F222">
        <v>21.430000000000003</v>
      </c>
      <c r="G222" s="15">
        <f>TouristExpense[[#This Row],[Medical Expense]]/TouristExpense[[#This Row],[Total Expense]]</f>
        <v>3.7506344400301039E-2</v>
      </c>
    </row>
    <row r="223" spans="1:7">
      <c r="A223" t="s">
        <v>15</v>
      </c>
      <c r="B223" t="s">
        <v>16</v>
      </c>
      <c r="C223">
        <v>2021</v>
      </c>
      <c r="D223">
        <f>TouristExpense[[#This Row],[Year]]+543</f>
        <v>2564</v>
      </c>
      <c r="E223" s="16">
        <v>9162.82</v>
      </c>
      <c r="F223">
        <v>847.99</v>
      </c>
      <c r="G223" s="15">
        <f>TouristExpense[[#This Row],[Medical Expense]]/TouristExpense[[#This Row],[Total Expense]]</f>
        <v>9.2546836017732531E-2</v>
      </c>
    </row>
    <row r="224" spans="1:7">
      <c r="A224" t="s">
        <v>15</v>
      </c>
      <c r="B224" t="s">
        <v>17</v>
      </c>
      <c r="C224">
        <v>2021</v>
      </c>
      <c r="D224">
        <f>TouristExpense[[#This Row],[Year]]+543</f>
        <v>2564</v>
      </c>
      <c r="E224" s="16">
        <v>520.13</v>
      </c>
      <c r="F224">
        <v>15.200000000000001</v>
      </c>
      <c r="G224" s="15">
        <f>TouristExpense[[#This Row],[Medical Expense]]/TouristExpense[[#This Row],[Total Expense]]</f>
        <v>2.9223463364928003E-2</v>
      </c>
    </row>
    <row r="225" spans="1:7">
      <c r="A225" t="s">
        <v>15</v>
      </c>
      <c r="B225" t="s">
        <v>18</v>
      </c>
      <c r="C225">
        <v>2021</v>
      </c>
      <c r="D225">
        <f>TouristExpense[[#This Row],[Year]]+543</f>
        <v>2564</v>
      </c>
      <c r="E225" s="16">
        <v>8880.51</v>
      </c>
      <c r="F225">
        <v>682.18000000000006</v>
      </c>
      <c r="G225" s="15">
        <f>TouristExpense[[#This Row],[Medical Expense]]/TouristExpense[[#This Row],[Total Expense]]</f>
        <v>7.6817660246990327E-2</v>
      </c>
    </row>
    <row r="226" spans="1:7">
      <c r="A226" t="s">
        <v>15</v>
      </c>
      <c r="B226" t="s">
        <v>19</v>
      </c>
      <c r="C226">
        <v>2021</v>
      </c>
      <c r="D226">
        <f>TouristExpense[[#This Row],[Year]]+543</f>
        <v>2564</v>
      </c>
      <c r="E226" s="16">
        <v>3635.6900000000005</v>
      </c>
      <c r="F226">
        <v>206.47999999999996</v>
      </c>
      <c r="G226" s="15">
        <f>TouristExpense[[#This Row],[Medical Expense]]/TouristExpense[[#This Row],[Total Expense]]</f>
        <v>5.6792520814480864E-2</v>
      </c>
    </row>
    <row r="227" spans="1:7">
      <c r="A227" t="s">
        <v>15</v>
      </c>
      <c r="B227" t="s">
        <v>20</v>
      </c>
      <c r="C227">
        <v>2021</v>
      </c>
      <c r="D227">
        <f>TouristExpense[[#This Row],[Year]]+543</f>
        <v>2564</v>
      </c>
      <c r="E227" s="16">
        <v>1018.7800000000002</v>
      </c>
      <c r="F227">
        <v>96.070000000000007</v>
      </c>
      <c r="G227" s="15">
        <f>TouristExpense[[#This Row],[Medical Expense]]/TouristExpense[[#This Row],[Total Expense]]</f>
        <v>9.4299063585857587E-2</v>
      </c>
    </row>
    <row r="228" spans="1:7">
      <c r="A228" t="s">
        <v>15</v>
      </c>
      <c r="B228" t="s">
        <v>21</v>
      </c>
      <c r="C228">
        <v>2021</v>
      </c>
      <c r="D228">
        <f>TouristExpense[[#This Row],[Year]]+543</f>
        <v>2564</v>
      </c>
      <c r="E228" s="16">
        <v>214.72</v>
      </c>
      <c r="F228">
        <v>11.43</v>
      </c>
      <c r="G228" s="15">
        <f>TouristExpense[[#This Row],[Medical Expense]]/TouristExpense[[#This Row],[Total Expense]]</f>
        <v>5.3232116244411327E-2</v>
      </c>
    </row>
    <row r="229" spans="1:7">
      <c r="A229" t="s">
        <v>22</v>
      </c>
      <c r="B229" t="s">
        <v>23</v>
      </c>
      <c r="C229">
        <v>2021</v>
      </c>
      <c r="D229">
        <f>TouristExpense[[#This Row],[Year]]+543</f>
        <v>2564</v>
      </c>
      <c r="E229" s="16">
        <v>558.38</v>
      </c>
      <c r="F229">
        <v>304.42</v>
      </c>
      <c r="G229" s="15">
        <f>TouristExpense[[#This Row],[Medical Expense]]/TouristExpense[[#This Row],[Total Expense]]</f>
        <v>0.5451842831046958</v>
      </c>
    </row>
    <row r="230" spans="1:7">
      <c r="A230" t="s">
        <v>22</v>
      </c>
      <c r="B230" t="s">
        <v>24</v>
      </c>
      <c r="C230">
        <v>2021</v>
      </c>
      <c r="D230">
        <f>TouristExpense[[#This Row],[Year]]+543</f>
        <v>2564</v>
      </c>
      <c r="E230" s="16">
        <v>2855.44</v>
      </c>
      <c r="F230">
        <v>77.820000000000007</v>
      </c>
      <c r="G230" s="15">
        <f>TouristExpense[[#This Row],[Medical Expense]]/TouristExpense[[#This Row],[Total Expense]]</f>
        <v>2.7253242932787945E-2</v>
      </c>
    </row>
    <row r="231" spans="1:7">
      <c r="A231" t="s">
        <v>22</v>
      </c>
      <c r="B231" t="s">
        <v>25</v>
      </c>
      <c r="C231">
        <v>2021</v>
      </c>
      <c r="D231">
        <f>TouristExpense[[#This Row],[Year]]+543</f>
        <v>2564</v>
      </c>
      <c r="E231" s="16">
        <v>213.06</v>
      </c>
      <c r="F231">
        <v>23.930000000000003</v>
      </c>
      <c r="G231" s="15">
        <f>TouristExpense[[#This Row],[Medical Expense]]/TouristExpense[[#This Row],[Total Expense]]</f>
        <v>0.11231577959260304</v>
      </c>
    </row>
    <row r="232" spans="1:7">
      <c r="A232" t="s">
        <v>22</v>
      </c>
      <c r="B232" t="s">
        <v>26</v>
      </c>
      <c r="C232">
        <v>2021</v>
      </c>
      <c r="D232">
        <f>TouristExpense[[#This Row],[Year]]+543</f>
        <v>2564</v>
      </c>
      <c r="E232" s="16">
        <v>367.07</v>
      </c>
      <c r="F232">
        <v>9.18</v>
      </c>
      <c r="G232" s="15">
        <f>TouristExpense[[#This Row],[Medical Expense]]/TouristExpense[[#This Row],[Total Expense]]</f>
        <v>2.5008853897076851E-2</v>
      </c>
    </row>
    <row r="233" spans="1:7">
      <c r="A233" t="s">
        <v>22</v>
      </c>
      <c r="B233" t="s">
        <v>27</v>
      </c>
      <c r="C233">
        <v>2021</v>
      </c>
      <c r="D233">
        <f>TouristExpense[[#This Row],[Year]]+543</f>
        <v>2564</v>
      </c>
      <c r="E233" s="16">
        <v>142.81</v>
      </c>
      <c r="F233">
        <v>19.939999999999998</v>
      </c>
      <c r="G233" s="15">
        <f>TouristExpense[[#This Row],[Medical Expense]]/TouristExpense[[#This Row],[Total Expense]]</f>
        <v>0.13962607660527973</v>
      </c>
    </row>
    <row r="234" spans="1:7">
      <c r="A234" t="s">
        <v>22</v>
      </c>
      <c r="B234" t="s">
        <v>28</v>
      </c>
      <c r="C234">
        <v>2021</v>
      </c>
      <c r="D234">
        <f>TouristExpense[[#This Row],[Year]]+543</f>
        <v>2564</v>
      </c>
      <c r="E234" s="16">
        <v>423.74999999999994</v>
      </c>
      <c r="F234">
        <v>75.38</v>
      </c>
      <c r="G234" s="15">
        <f>TouristExpense[[#This Row],[Medical Expense]]/TouristExpense[[#This Row],[Total Expense]]</f>
        <v>0.17788790560471979</v>
      </c>
    </row>
    <row r="235" spans="1:7">
      <c r="A235" t="s">
        <v>29</v>
      </c>
      <c r="B235" t="s">
        <v>30</v>
      </c>
      <c r="C235">
        <v>2021</v>
      </c>
      <c r="D235">
        <f>TouristExpense[[#This Row],[Year]]+543</f>
        <v>2564</v>
      </c>
      <c r="E235" s="16">
        <v>2218.92</v>
      </c>
      <c r="F235">
        <v>265.74</v>
      </c>
      <c r="G235" s="15">
        <f>TouristExpense[[#This Row],[Medical Expense]]/TouristExpense[[#This Row],[Total Expense]]</f>
        <v>0.11976096479368341</v>
      </c>
    </row>
    <row r="236" spans="1:7">
      <c r="A236" t="s">
        <v>29</v>
      </c>
      <c r="B236" t="s">
        <v>120</v>
      </c>
      <c r="C236">
        <v>2021</v>
      </c>
      <c r="D236">
        <f>TouristExpense[[#This Row],[Year]]+543</f>
        <v>2564</v>
      </c>
      <c r="E236" s="16">
        <v>353.32000000000005</v>
      </c>
      <c r="F236">
        <v>15.289999999999997</v>
      </c>
      <c r="G236" s="15">
        <f>TouristExpense[[#This Row],[Medical Expense]]/TouristExpense[[#This Row],[Total Expense]]</f>
        <v>4.3275217932752165E-2</v>
      </c>
    </row>
    <row r="237" spans="1:7">
      <c r="A237" t="s">
        <v>29</v>
      </c>
      <c r="B237" t="s">
        <v>32</v>
      </c>
      <c r="C237">
        <v>2021</v>
      </c>
      <c r="D237">
        <f>TouristExpense[[#This Row],[Year]]+543</f>
        <v>2564</v>
      </c>
      <c r="E237" s="16">
        <v>55.529999999999994</v>
      </c>
      <c r="F237">
        <v>4.51</v>
      </c>
      <c r="G237" s="15">
        <f>TouristExpense[[#This Row],[Medical Expense]]/TouristExpense[[#This Row],[Total Expense]]</f>
        <v>8.1217359985593374E-2</v>
      </c>
    </row>
    <row r="238" spans="1:7">
      <c r="A238" t="s">
        <v>33</v>
      </c>
      <c r="B238" t="s">
        <v>34</v>
      </c>
      <c r="C238">
        <v>2021</v>
      </c>
      <c r="D238">
        <f>TouristExpense[[#This Row],[Year]]+543</f>
        <v>2564</v>
      </c>
      <c r="E238" s="16">
        <v>85.9</v>
      </c>
      <c r="F238">
        <v>2.14</v>
      </c>
      <c r="G238" s="15">
        <f>TouristExpense[[#This Row],[Medical Expense]]/TouristExpense[[#This Row],[Total Expense]]</f>
        <v>2.4912689173457507E-2</v>
      </c>
    </row>
    <row r="239" spans="1:7">
      <c r="A239" t="s">
        <v>33</v>
      </c>
      <c r="B239" t="s">
        <v>35</v>
      </c>
      <c r="C239">
        <v>2021</v>
      </c>
      <c r="D239">
        <f>TouristExpense[[#This Row],[Year]]+543</f>
        <v>2564</v>
      </c>
      <c r="E239" s="16">
        <v>591.93999999999994</v>
      </c>
      <c r="F239">
        <v>85.62</v>
      </c>
      <c r="G239" s="15">
        <f>TouristExpense[[#This Row],[Medical Expense]]/TouristExpense[[#This Row],[Total Expense]]</f>
        <v>0.14464303814575805</v>
      </c>
    </row>
    <row r="240" spans="1:7">
      <c r="A240" t="s">
        <v>33</v>
      </c>
      <c r="B240" t="s">
        <v>119</v>
      </c>
      <c r="C240">
        <v>2021</v>
      </c>
      <c r="D240">
        <f>TouristExpense[[#This Row],[Year]]+543</f>
        <v>2564</v>
      </c>
      <c r="E240" s="16">
        <v>70.14</v>
      </c>
      <c r="F240">
        <v>9.77</v>
      </c>
      <c r="G240" s="15">
        <f>TouristExpense[[#This Row],[Medical Expense]]/TouristExpense[[#This Row],[Total Expense]]</f>
        <v>0.13929284288565724</v>
      </c>
    </row>
    <row r="241" spans="1:7">
      <c r="A241" t="s">
        <v>33</v>
      </c>
      <c r="B241" t="s">
        <v>37</v>
      </c>
      <c r="C241">
        <v>2021</v>
      </c>
      <c r="D241">
        <f>TouristExpense[[#This Row],[Year]]+543</f>
        <v>2564</v>
      </c>
      <c r="E241" s="16">
        <v>370.16</v>
      </c>
      <c r="F241">
        <v>17.32</v>
      </c>
      <c r="G241" s="15">
        <f>TouristExpense[[#This Row],[Medical Expense]]/TouristExpense[[#This Row],[Total Expense]]</f>
        <v>4.6790577047763127E-2</v>
      </c>
    </row>
    <row r="242" spans="1:7">
      <c r="A242" t="s">
        <v>33</v>
      </c>
      <c r="B242" t="s">
        <v>38</v>
      </c>
      <c r="C242">
        <v>2021</v>
      </c>
      <c r="D242">
        <f>TouristExpense[[#This Row],[Year]]+543</f>
        <v>2564</v>
      </c>
      <c r="E242" s="16">
        <v>1654.01</v>
      </c>
      <c r="F242">
        <v>254.26999999999998</v>
      </c>
      <c r="G242" s="15">
        <f>TouristExpense[[#This Row],[Medical Expense]]/TouristExpense[[#This Row],[Total Expense]]</f>
        <v>0.15372942122478098</v>
      </c>
    </row>
    <row r="243" spans="1:7">
      <c r="A243" t="s">
        <v>39</v>
      </c>
      <c r="B243" t="s">
        <v>40</v>
      </c>
      <c r="C243">
        <v>2021</v>
      </c>
      <c r="D243">
        <f>TouristExpense[[#This Row],[Year]]+543</f>
        <v>2564</v>
      </c>
      <c r="E243" s="16">
        <v>1381.65</v>
      </c>
      <c r="F243">
        <v>48.690000000000005</v>
      </c>
      <c r="G243" s="15">
        <f>TouristExpense[[#This Row],[Medical Expense]]/TouristExpense[[#This Row],[Total Expense]]</f>
        <v>3.5240473347085008E-2</v>
      </c>
    </row>
    <row r="244" spans="1:7">
      <c r="A244" t="s">
        <v>39</v>
      </c>
      <c r="B244" t="s">
        <v>41</v>
      </c>
      <c r="C244">
        <v>2021</v>
      </c>
      <c r="D244">
        <f>TouristExpense[[#This Row],[Year]]+543</f>
        <v>2564</v>
      </c>
      <c r="E244" s="16">
        <v>901.05000000000007</v>
      </c>
      <c r="F244">
        <v>29.38</v>
      </c>
      <c r="G244" s="15">
        <f>TouristExpense[[#This Row],[Medical Expense]]/TouristExpense[[#This Row],[Total Expense]]</f>
        <v>3.2606403640197547E-2</v>
      </c>
    </row>
    <row r="245" spans="1:7">
      <c r="A245" t="s">
        <v>39</v>
      </c>
      <c r="B245" t="s">
        <v>42</v>
      </c>
      <c r="C245">
        <v>2021</v>
      </c>
      <c r="D245">
        <f>TouristExpense[[#This Row],[Year]]+543</f>
        <v>2564</v>
      </c>
      <c r="E245" s="16">
        <v>1046.06</v>
      </c>
      <c r="F245">
        <v>45.03</v>
      </c>
      <c r="G245" s="15">
        <f>TouristExpense[[#This Row],[Medical Expense]]/TouristExpense[[#This Row],[Total Expense]]</f>
        <v>4.3047243943942035E-2</v>
      </c>
    </row>
    <row r="246" spans="1:7">
      <c r="A246" t="s">
        <v>39</v>
      </c>
      <c r="B246" t="s">
        <v>43</v>
      </c>
      <c r="C246">
        <v>2021</v>
      </c>
      <c r="D246">
        <f>TouristExpense[[#This Row],[Year]]+543</f>
        <v>2564</v>
      </c>
      <c r="E246" s="16">
        <v>2039.1200000000001</v>
      </c>
      <c r="F246">
        <v>51.2</v>
      </c>
      <c r="G246" s="15">
        <f>TouristExpense[[#This Row],[Medical Expense]]/TouristExpense[[#This Row],[Total Expense]]</f>
        <v>2.5108870493153908E-2</v>
      </c>
    </row>
    <row r="247" spans="1:7">
      <c r="A247" t="s">
        <v>39</v>
      </c>
      <c r="B247" t="s">
        <v>118</v>
      </c>
      <c r="C247">
        <v>2021</v>
      </c>
      <c r="D247">
        <f>TouristExpense[[#This Row],[Year]]+543</f>
        <v>2564</v>
      </c>
      <c r="E247" s="16">
        <v>8602.5499999999993</v>
      </c>
      <c r="F247">
        <v>487.40000000000003</v>
      </c>
      <c r="G247" s="15">
        <f>TouristExpense[[#This Row],[Medical Expense]]/TouristExpense[[#This Row],[Total Expense]]</f>
        <v>5.6657618961819471E-2</v>
      </c>
    </row>
    <row r="248" spans="1:7">
      <c r="A248" t="s">
        <v>45</v>
      </c>
      <c r="B248" t="s">
        <v>46</v>
      </c>
      <c r="C248">
        <v>2021</v>
      </c>
      <c r="D248">
        <f>TouristExpense[[#This Row],[Year]]+543</f>
        <v>2564</v>
      </c>
      <c r="E248" s="16">
        <v>934.15000000000009</v>
      </c>
      <c r="F248">
        <v>28.82</v>
      </c>
      <c r="G248" s="15">
        <f>TouristExpense[[#This Row],[Medical Expense]]/TouristExpense[[#This Row],[Total Expense]]</f>
        <v>3.0851576299309531E-2</v>
      </c>
    </row>
    <row r="249" spans="1:7">
      <c r="A249" t="s">
        <v>45</v>
      </c>
      <c r="B249" t="s">
        <v>47</v>
      </c>
      <c r="C249">
        <v>2021</v>
      </c>
      <c r="D249">
        <f>TouristExpense[[#This Row],[Year]]+543</f>
        <v>2564</v>
      </c>
      <c r="E249" s="16">
        <v>979.78000000000009</v>
      </c>
      <c r="F249">
        <v>30.759999999999998</v>
      </c>
      <c r="G249" s="15">
        <f>TouristExpense[[#This Row],[Medical Expense]]/TouristExpense[[#This Row],[Total Expense]]</f>
        <v>3.1394802914940081E-2</v>
      </c>
    </row>
    <row r="250" spans="1:7">
      <c r="A250" t="s">
        <v>45</v>
      </c>
      <c r="B250" t="s">
        <v>48</v>
      </c>
      <c r="C250">
        <v>2021</v>
      </c>
      <c r="D250">
        <f>TouristExpense[[#This Row],[Year]]+543</f>
        <v>2564</v>
      </c>
      <c r="E250" s="16">
        <v>5897.02</v>
      </c>
      <c r="F250">
        <v>276.68000000000006</v>
      </c>
      <c r="G250" s="15">
        <f>TouristExpense[[#This Row],[Medical Expense]]/TouristExpense[[#This Row],[Total Expense]]</f>
        <v>4.6918613130021609E-2</v>
      </c>
    </row>
    <row r="251" spans="1:7">
      <c r="A251" t="s">
        <v>45</v>
      </c>
      <c r="B251" t="s">
        <v>49</v>
      </c>
      <c r="C251">
        <v>2021</v>
      </c>
      <c r="D251">
        <f>TouristExpense[[#This Row],[Year]]+543</f>
        <v>2564</v>
      </c>
      <c r="E251" s="16">
        <v>5849.02</v>
      </c>
      <c r="F251">
        <v>270.85000000000002</v>
      </c>
      <c r="G251" s="15">
        <f>TouristExpense[[#This Row],[Medical Expense]]/TouristExpense[[#This Row],[Total Expense]]</f>
        <v>4.6306902694810415E-2</v>
      </c>
    </row>
    <row r="252" spans="1:7">
      <c r="A252" t="s">
        <v>45</v>
      </c>
      <c r="B252" t="s">
        <v>50</v>
      </c>
      <c r="C252">
        <v>2021</v>
      </c>
      <c r="D252">
        <f>TouristExpense[[#This Row],[Year]]+543</f>
        <v>2564</v>
      </c>
      <c r="E252" s="16">
        <v>1951.1</v>
      </c>
      <c r="F252">
        <v>52.84</v>
      </c>
      <c r="G252" s="15">
        <f>TouristExpense[[#This Row],[Medical Expense]]/TouristExpense[[#This Row],[Total Expense]]</f>
        <v>2.7082158782225415E-2</v>
      </c>
    </row>
    <row r="253" spans="1:7">
      <c r="A253" t="s">
        <v>45</v>
      </c>
      <c r="B253" t="s">
        <v>51</v>
      </c>
      <c r="C253">
        <v>2021</v>
      </c>
      <c r="D253">
        <f>TouristExpense[[#This Row],[Year]]+543</f>
        <v>2564</v>
      </c>
      <c r="E253" s="16">
        <v>1839.0399999999997</v>
      </c>
      <c r="F253">
        <v>96.74</v>
      </c>
      <c r="G253" s="15">
        <f>TouristExpense[[#This Row],[Medical Expense]]/TouristExpense[[#This Row],[Total Expense]]</f>
        <v>5.2603532277710113E-2</v>
      </c>
    </row>
    <row r="254" spans="1:7">
      <c r="A254" t="s">
        <v>52</v>
      </c>
      <c r="B254" t="s">
        <v>53</v>
      </c>
      <c r="C254">
        <v>2021</v>
      </c>
      <c r="D254">
        <f>TouristExpense[[#This Row],[Year]]+543</f>
        <v>2564</v>
      </c>
      <c r="E254" s="16">
        <v>5369.33</v>
      </c>
      <c r="F254">
        <v>202</v>
      </c>
      <c r="G254" s="15">
        <f>TouristExpense[[#This Row],[Medical Expense]]/TouristExpense[[#This Row],[Total Expense]]</f>
        <v>3.7621081214974678E-2</v>
      </c>
    </row>
    <row r="255" spans="1:7">
      <c r="A255" t="s">
        <v>33</v>
      </c>
      <c r="B255" t="s">
        <v>54</v>
      </c>
      <c r="C255">
        <v>2021</v>
      </c>
      <c r="D255">
        <f>TouristExpense[[#This Row],[Year]]+543</f>
        <v>2564</v>
      </c>
      <c r="E255" s="16">
        <v>1493.09</v>
      </c>
      <c r="F255">
        <v>138.97999999999996</v>
      </c>
      <c r="G255" s="15">
        <f>TouristExpense[[#This Row],[Medical Expense]]/TouristExpense[[#This Row],[Total Expense]]</f>
        <v>9.3082131686636413E-2</v>
      </c>
    </row>
    <row r="256" spans="1:7">
      <c r="A256" t="s">
        <v>55</v>
      </c>
      <c r="B256" t="s">
        <v>56</v>
      </c>
      <c r="C256">
        <v>2021</v>
      </c>
      <c r="D256">
        <f>TouristExpense[[#This Row],[Year]]+543</f>
        <v>2564</v>
      </c>
      <c r="E256" s="16">
        <v>1407.87</v>
      </c>
      <c r="F256">
        <v>99.52000000000001</v>
      </c>
      <c r="G256" s="15">
        <f>TouristExpense[[#This Row],[Medical Expense]]/TouristExpense[[#This Row],[Total Expense]]</f>
        <v>7.068834480456293E-2</v>
      </c>
    </row>
    <row r="257" spans="1:7">
      <c r="A257" t="s">
        <v>55</v>
      </c>
      <c r="B257" t="s">
        <v>57</v>
      </c>
      <c r="C257">
        <v>2021</v>
      </c>
      <c r="D257">
        <f>TouristExpense[[#This Row],[Year]]+543</f>
        <v>2564</v>
      </c>
      <c r="E257" s="16">
        <v>613.3900000000001</v>
      </c>
      <c r="F257">
        <v>21.580000000000002</v>
      </c>
      <c r="G257" s="15">
        <f>TouristExpense[[#This Row],[Medical Expense]]/TouristExpense[[#This Row],[Total Expense]]</f>
        <v>3.5181532141052185E-2</v>
      </c>
    </row>
    <row r="258" spans="1:7">
      <c r="A258" t="s">
        <v>58</v>
      </c>
      <c r="B258" t="s">
        <v>59</v>
      </c>
      <c r="C258">
        <v>2021</v>
      </c>
      <c r="D258">
        <f>TouristExpense[[#This Row],[Year]]+543</f>
        <v>2564</v>
      </c>
      <c r="E258" s="16">
        <v>3321.01</v>
      </c>
      <c r="F258">
        <v>65.739999999999995</v>
      </c>
      <c r="G258" s="15">
        <f>TouristExpense[[#This Row],[Medical Expense]]/TouristExpense[[#This Row],[Total Expense]]</f>
        <v>1.97951827907775E-2</v>
      </c>
    </row>
    <row r="259" spans="1:7">
      <c r="A259" t="s">
        <v>58</v>
      </c>
      <c r="B259" t="s">
        <v>60</v>
      </c>
      <c r="C259">
        <v>2021</v>
      </c>
      <c r="D259">
        <f>TouristExpense[[#This Row],[Year]]+543</f>
        <v>2564</v>
      </c>
      <c r="E259" s="16">
        <v>1438.06</v>
      </c>
      <c r="F259">
        <v>30.02</v>
      </c>
      <c r="G259" s="15">
        <f>TouristExpense[[#This Row],[Medical Expense]]/TouristExpense[[#This Row],[Total Expense]]</f>
        <v>2.0875345952185584E-2</v>
      </c>
    </row>
    <row r="260" spans="1:7">
      <c r="A260" t="s">
        <v>61</v>
      </c>
      <c r="B260" t="s">
        <v>62</v>
      </c>
      <c r="C260">
        <v>2021</v>
      </c>
      <c r="D260">
        <f>TouristExpense[[#This Row],[Year]]+543</f>
        <v>2564</v>
      </c>
      <c r="E260" s="16">
        <v>1453.7499999999998</v>
      </c>
      <c r="F260">
        <v>100.73</v>
      </c>
      <c r="G260" s="15">
        <f>TouristExpense[[#This Row],[Medical Expense]]/TouristExpense[[#This Row],[Total Expense]]</f>
        <v>6.9289767841788488E-2</v>
      </c>
    </row>
    <row r="261" spans="1:7">
      <c r="A261" t="s">
        <v>61</v>
      </c>
      <c r="B261" t="s">
        <v>63</v>
      </c>
      <c r="C261">
        <v>2021</v>
      </c>
      <c r="D261">
        <f>TouristExpense[[#This Row],[Year]]+543</f>
        <v>2564</v>
      </c>
      <c r="E261" s="16">
        <v>8569.76</v>
      </c>
      <c r="F261">
        <v>483.24</v>
      </c>
      <c r="G261" s="15">
        <f>TouristExpense[[#This Row],[Medical Expense]]/TouristExpense[[#This Row],[Total Expense]]</f>
        <v>5.6388977054199881E-2</v>
      </c>
    </row>
    <row r="262" spans="1:7">
      <c r="A262" t="s">
        <v>61</v>
      </c>
      <c r="B262" t="s">
        <v>64</v>
      </c>
      <c r="C262">
        <v>2021</v>
      </c>
      <c r="D262">
        <f>TouristExpense[[#This Row],[Year]]+543</f>
        <v>2564</v>
      </c>
      <c r="E262" s="16">
        <v>59.79</v>
      </c>
      <c r="F262">
        <v>1.53</v>
      </c>
      <c r="G262" s="15">
        <f>TouristExpense[[#This Row],[Medical Expense]]/TouristExpense[[#This Row],[Total Expense]]</f>
        <v>2.5589563472152535E-2</v>
      </c>
    </row>
    <row r="263" spans="1:7">
      <c r="A263" t="s">
        <v>61</v>
      </c>
      <c r="B263" t="s">
        <v>65</v>
      </c>
      <c r="C263">
        <v>2021</v>
      </c>
      <c r="D263">
        <f>TouristExpense[[#This Row],[Year]]+543</f>
        <v>2564</v>
      </c>
      <c r="E263" s="16">
        <v>302.96000000000004</v>
      </c>
      <c r="F263">
        <v>18.18</v>
      </c>
      <c r="G263" s="15">
        <f>TouristExpense[[#This Row],[Medical Expense]]/TouristExpense[[#This Row],[Total Expense]]</f>
        <v>6.0007921837866379E-2</v>
      </c>
    </row>
    <row r="264" spans="1:7">
      <c r="A264" t="s">
        <v>61</v>
      </c>
      <c r="B264" t="s">
        <v>66</v>
      </c>
      <c r="C264">
        <v>2021</v>
      </c>
      <c r="D264">
        <f>TouristExpense[[#This Row],[Year]]+543</f>
        <v>2564</v>
      </c>
      <c r="E264" s="16">
        <v>362</v>
      </c>
      <c r="F264">
        <v>56.97</v>
      </c>
      <c r="G264" s="15">
        <f>TouristExpense[[#This Row],[Medical Expense]]/TouristExpense[[#This Row],[Total Expense]]</f>
        <v>0.15737569060773479</v>
      </c>
    </row>
    <row r="265" spans="1:7">
      <c r="A265" t="s">
        <v>67</v>
      </c>
      <c r="B265" t="s">
        <v>68</v>
      </c>
      <c r="C265">
        <v>2021</v>
      </c>
      <c r="D265">
        <f>TouristExpense[[#This Row],[Year]]+543</f>
        <v>2564</v>
      </c>
      <c r="E265" s="16">
        <v>312.33</v>
      </c>
      <c r="F265">
        <v>18.38</v>
      </c>
      <c r="G265" s="15">
        <f>TouristExpense[[#This Row],[Medical Expense]]/TouristExpense[[#This Row],[Total Expense]]</f>
        <v>5.8848013319245669E-2</v>
      </c>
    </row>
    <row r="266" spans="1:7">
      <c r="A266" t="s">
        <v>67</v>
      </c>
      <c r="B266" t="s">
        <v>69</v>
      </c>
      <c r="C266">
        <v>2021</v>
      </c>
      <c r="D266">
        <f>TouristExpense[[#This Row],[Year]]+543</f>
        <v>2564</v>
      </c>
      <c r="E266" s="16">
        <v>687.86</v>
      </c>
      <c r="F266">
        <v>12.86</v>
      </c>
      <c r="G266" s="15">
        <f>TouristExpense[[#This Row],[Medical Expense]]/TouristExpense[[#This Row],[Total Expense]]</f>
        <v>1.8695664815514785E-2</v>
      </c>
    </row>
    <row r="267" spans="1:7">
      <c r="A267" t="s">
        <v>5</v>
      </c>
      <c r="B267" t="s">
        <v>6</v>
      </c>
      <c r="C267">
        <v>2022</v>
      </c>
      <c r="D267">
        <f>TouristExpense[[#This Row],[Year]]+543</f>
        <v>2565</v>
      </c>
      <c r="E267" s="16">
        <v>82.73</v>
      </c>
      <c r="F267">
        <v>1.125845253359989</v>
      </c>
      <c r="G267" s="15">
        <f>TouristExpense[[#This Row],[Medical Expense]]/TouristExpense[[#This Row],[Total Expense]]</f>
        <v>1.3608669809742402E-2</v>
      </c>
    </row>
    <row r="268" spans="1:7">
      <c r="A268" t="s">
        <v>5</v>
      </c>
      <c r="B268" t="s">
        <v>7</v>
      </c>
      <c r="C268">
        <v>2022</v>
      </c>
      <c r="D268">
        <f>TouristExpense[[#This Row],[Year]]+543</f>
        <v>2565</v>
      </c>
      <c r="E268" s="16">
        <v>12897.330000000002</v>
      </c>
      <c r="F268">
        <v>1721.0412739294243</v>
      </c>
      <c r="G268" s="15">
        <f>TouristExpense[[#This Row],[Medical Expense]]/TouristExpense[[#This Row],[Total Expense]]</f>
        <v>0.13344167156531034</v>
      </c>
    </row>
    <row r="269" spans="1:7">
      <c r="A269" t="s">
        <v>5</v>
      </c>
      <c r="B269" t="s">
        <v>8</v>
      </c>
      <c r="C269">
        <v>2022</v>
      </c>
      <c r="D269">
        <f>TouristExpense[[#This Row],[Year]]+543</f>
        <v>2565</v>
      </c>
      <c r="E269" s="16">
        <v>7463.64</v>
      </c>
      <c r="F269">
        <v>50.829823129866085</v>
      </c>
      <c r="G269" s="15">
        <f>TouristExpense[[#This Row],[Medical Expense]]/TouristExpense[[#This Row],[Total Expense]]</f>
        <v>6.8103262121251944E-3</v>
      </c>
    </row>
    <row r="270" spans="1:7">
      <c r="A270" t="s">
        <v>5</v>
      </c>
      <c r="B270" t="s">
        <v>9</v>
      </c>
      <c r="C270">
        <v>2022</v>
      </c>
      <c r="D270">
        <f>TouristExpense[[#This Row],[Year]]+543</f>
        <v>2565</v>
      </c>
      <c r="E270" s="16">
        <v>21431.86</v>
      </c>
      <c r="F270">
        <v>1162.9739821729993</v>
      </c>
      <c r="G270" s="15">
        <f>TouristExpense[[#This Row],[Medical Expense]]/TouristExpense[[#This Row],[Total Expense]]</f>
        <v>5.4263791484873418E-2</v>
      </c>
    </row>
    <row r="271" spans="1:7">
      <c r="A271" t="s">
        <v>5</v>
      </c>
      <c r="B271" t="s">
        <v>10</v>
      </c>
      <c r="C271">
        <v>2022</v>
      </c>
      <c r="D271">
        <f>TouristExpense[[#This Row],[Year]]+543</f>
        <v>2565</v>
      </c>
      <c r="E271" s="16">
        <v>29856.409999999996</v>
      </c>
      <c r="F271">
        <v>210.89284914124062</v>
      </c>
      <c r="G271" s="15">
        <f>TouristExpense[[#This Row],[Medical Expense]]/TouristExpense[[#This Row],[Total Expense]]</f>
        <v>7.0635702397321264E-3</v>
      </c>
    </row>
    <row r="272" spans="1:7">
      <c r="A272" t="s">
        <v>5</v>
      </c>
      <c r="B272" t="s">
        <v>11</v>
      </c>
      <c r="C272">
        <v>2022</v>
      </c>
      <c r="D272">
        <f>TouristExpense[[#This Row],[Year]]+543</f>
        <v>2565</v>
      </c>
      <c r="E272" s="16">
        <v>8554.0400000000009</v>
      </c>
      <c r="F272">
        <v>1112.9316257679009</v>
      </c>
      <c r="G272" s="15">
        <f>TouristExpense[[#This Row],[Medical Expense]]/TouristExpense[[#This Row],[Total Expense]]</f>
        <v>0.13010596463985447</v>
      </c>
    </row>
    <row r="273" spans="1:7">
      <c r="A273" t="s">
        <v>5</v>
      </c>
      <c r="B273" t="s">
        <v>12</v>
      </c>
      <c r="C273">
        <v>2022</v>
      </c>
      <c r="D273">
        <f>TouristExpense[[#This Row],[Year]]+543</f>
        <v>2565</v>
      </c>
      <c r="E273" s="16">
        <v>7314.9399999999987</v>
      </c>
      <c r="F273">
        <v>67.577210707133148</v>
      </c>
      <c r="G273" s="15">
        <f>TouristExpense[[#This Row],[Medical Expense]]/TouristExpense[[#This Row],[Total Expense]]</f>
        <v>9.2382453864465267E-3</v>
      </c>
    </row>
    <row r="274" spans="1:7">
      <c r="A274" t="s">
        <v>5</v>
      </c>
      <c r="B274" t="s">
        <v>13</v>
      </c>
      <c r="C274">
        <v>2022</v>
      </c>
      <c r="D274">
        <f>TouristExpense[[#This Row],[Year]]+543</f>
        <v>2565</v>
      </c>
      <c r="E274" s="16">
        <v>21110.05</v>
      </c>
      <c r="F274">
        <v>39.623955542281884</v>
      </c>
      <c r="G274" s="15">
        <f>TouristExpense[[#This Row],[Medical Expense]]/TouristExpense[[#This Row],[Total Expense]]</f>
        <v>1.8770185547775532E-3</v>
      </c>
    </row>
    <row r="275" spans="1:7">
      <c r="A275" t="s">
        <v>5</v>
      </c>
      <c r="B275" t="s">
        <v>14</v>
      </c>
      <c r="C275">
        <v>2022</v>
      </c>
      <c r="D275">
        <f>TouristExpense[[#This Row],[Year]]+543</f>
        <v>2565</v>
      </c>
      <c r="E275" s="16">
        <v>16193.109999999999</v>
      </c>
      <c r="F275">
        <v>163.54113541594893</v>
      </c>
      <c r="G275" s="15">
        <f>TouristExpense[[#This Row],[Medical Expense]]/TouristExpense[[#This Row],[Total Expense]]</f>
        <v>1.0099427189461996E-2</v>
      </c>
    </row>
    <row r="276" spans="1:7">
      <c r="A276" t="s">
        <v>15</v>
      </c>
      <c r="B276" t="s">
        <v>16</v>
      </c>
      <c r="C276">
        <v>2022</v>
      </c>
      <c r="D276">
        <f>TouristExpense[[#This Row],[Year]]+543</f>
        <v>2565</v>
      </c>
      <c r="E276" s="16">
        <v>30068.350000000002</v>
      </c>
      <c r="F276">
        <v>258.42155442165455</v>
      </c>
      <c r="G276" s="15">
        <f>TouristExpense[[#This Row],[Medical Expense]]/TouristExpense[[#This Row],[Total Expense]]</f>
        <v>8.5944707448747451E-3</v>
      </c>
    </row>
    <row r="277" spans="1:7">
      <c r="A277" t="s">
        <v>15</v>
      </c>
      <c r="B277" t="s">
        <v>17</v>
      </c>
      <c r="C277">
        <v>2022</v>
      </c>
      <c r="D277">
        <f>TouristExpense[[#This Row],[Year]]+543</f>
        <v>2565</v>
      </c>
      <c r="E277" s="16">
        <v>9893.35</v>
      </c>
      <c r="F277">
        <v>73.110160491542501</v>
      </c>
      <c r="G277" s="15">
        <f>TouristExpense[[#This Row],[Medical Expense]]/TouristExpense[[#This Row],[Total Expense]]</f>
        <v>7.3898285708624981E-3</v>
      </c>
    </row>
    <row r="278" spans="1:7">
      <c r="A278" t="s">
        <v>15</v>
      </c>
      <c r="B278" t="s">
        <v>18</v>
      </c>
      <c r="C278">
        <v>2022</v>
      </c>
      <c r="D278">
        <f>TouristExpense[[#This Row],[Year]]+543</f>
        <v>2565</v>
      </c>
      <c r="E278" s="16">
        <v>13473.699999999999</v>
      </c>
      <c r="F278">
        <v>12.938008054426179</v>
      </c>
      <c r="G278" s="15">
        <f>TouristExpense[[#This Row],[Medical Expense]]/TouristExpense[[#This Row],[Total Expense]]</f>
        <v>9.602416600062477E-4</v>
      </c>
    </row>
    <row r="279" spans="1:7">
      <c r="A279" t="s">
        <v>15</v>
      </c>
      <c r="B279" t="s">
        <v>19</v>
      </c>
      <c r="C279">
        <v>2022</v>
      </c>
      <c r="D279">
        <f>TouristExpense[[#This Row],[Year]]+543</f>
        <v>2565</v>
      </c>
      <c r="E279" s="16">
        <v>17454.91</v>
      </c>
      <c r="F279">
        <v>283.56003852079812</v>
      </c>
      <c r="G279" s="15">
        <f>TouristExpense[[#This Row],[Medical Expense]]/TouristExpense[[#This Row],[Total Expense]]</f>
        <v>1.6245287917313701E-2</v>
      </c>
    </row>
    <row r="280" spans="1:7">
      <c r="A280" t="s">
        <v>15</v>
      </c>
      <c r="B280" t="s">
        <v>20</v>
      </c>
      <c r="C280">
        <v>2022</v>
      </c>
      <c r="D280">
        <f>TouristExpense[[#This Row],[Year]]+543</f>
        <v>2565</v>
      </c>
      <c r="E280" s="16">
        <v>3546.54</v>
      </c>
      <c r="F280">
        <v>30.826466568177022</v>
      </c>
      <c r="G280" s="15">
        <f>TouristExpense[[#This Row],[Medical Expense]]/TouristExpense[[#This Row],[Total Expense]]</f>
        <v>8.6919833325373522E-3</v>
      </c>
    </row>
    <row r="281" spans="1:7">
      <c r="A281" t="s">
        <v>15</v>
      </c>
      <c r="B281" t="s">
        <v>21</v>
      </c>
      <c r="C281">
        <v>2022</v>
      </c>
      <c r="D281">
        <f>TouristExpense[[#This Row],[Year]]+543</f>
        <v>2565</v>
      </c>
      <c r="E281" s="16">
        <v>111.96</v>
      </c>
      <c r="F281">
        <v>0.1363696996192483</v>
      </c>
      <c r="G281" s="15">
        <f>TouristExpense[[#This Row],[Medical Expense]]/TouristExpense[[#This Row],[Total Expense]]</f>
        <v>1.2180216114616677E-3</v>
      </c>
    </row>
    <row r="282" spans="1:7">
      <c r="A282" t="s">
        <v>22</v>
      </c>
      <c r="B282" t="s">
        <v>23</v>
      </c>
      <c r="C282">
        <v>2022</v>
      </c>
      <c r="D282">
        <f>TouristExpense[[#This Row],[Year]]+543</f>
        <v>2565</v>
      </c>
      <c r="E282" s="16">
        <v>4452.99</v>
      </c>
      <c r="F282">
        <v>336.25675381485746</v>
      </c>
      <c r="G282" s="15">
        <f>TouristExpense[[#This Row],[Medical Expense]]/TouristExpense[[#This Row],[Total Expense]]</f>
        <v>7.5512577799379171E-2</v>
      </c>
    </row>
    <row r="283" spans="1:7">
      <c r="A283" t="s">
        <v>22</v>
      </c>
      <c r="B283" t="s">
        <v>24</v>
      </c>
      <c r="C283">
        <v>2022</v>
      </c>
      <c r="D283">
        <f>TouristExpense[[#This Row],[Year]]+543</f>
        <v>2565</v>
      </c>
      <c r="E283" s="16">
        <v>34530.25</v>
      </c>
      <c r="F283">
        <v>193.98736704057038</v>
      </c>
      <c r="G283" s="15">
        <f>TouristExpense[[#This Row],[Medical Expense]]/TouristExpense[[#This Row],[Total Expense]]</f>
        <v>5.6178963963646475E-3</v>
      </c>
    </row>
    <row r="284" spans="1:7">
      <c r="A284" t="s">
        <v>22</v>
      </c>
      <c r="B284" t="s">
        <v>25</v>
      </c>
      <c r="C284">
        <v>2022</v>
      </c>
      <c r="D284">
        <f>TouristExpense[[#This Row],[Year]]+543</f>
        <v>2565</v>
      </c>
      <c r="E284" s="16">
        <v>597.36999999999989</v>
      </c>
      <c r="F284">
        <v>3.8432082367931395</v>
      </c>
      <c r="G284" s="15">
        <f>TouristExpense[[#This Row],[Medical Expense]]/TouristExpense[[#This Row],[Total Expense]]</f>
        <v>6.4335474442860207E-3</v>
      </c>
    </row>
    <row r="285" spans="1:7">
      <c r="A285" t="s">
        <v>22</v>
      </c>
      <c r="B285" t="s">
        <v>26</v>
      </c>
      <c r="C285">
        <v>2022</v>
      </c>
      <c r="D285">
        <f>TouristExpense[[#This Row],[Year]]+543</f>
        <v>2565</v>
      </c>
      <c r="E285" s="16">
        <v>2345.0100000000002</v>
      </c>
      <c r="F285">
        <v>9.7022682672629941</v>
      </c>
      <c r="G285" s="15">
        <f>TouristExpense[[#This Row],[Medical Expense]]/TouristExpense[[#This Row],[Total Expense]]</f>
        <v>4.1374101889812805E-3</v>
      </c>
    </row>
    <row r="286" spans="1:7">
      <c r="A286" t="s">
        <v>22</v>
      </c>
      <c r="B286" t="s">
        <v>27</v>
      </c>
      <c r="C286">
        <v>2022</v>
      </c>
      <c r="D286">
        <f>TouristExpense[[#This Row],[Year]]+543</f>
        <v>2565</v>
      </c>
      <c r="E286" s="16">
        <v>272.58</v>
      </c>
      <c r="F286">
        <v>1.962673837954054</v>
      </c>
      <c r="G286" s="15">
        <f>TouristExpense[[#This Row],[Medical Expense]]/TouristExpense[[#This Row],[Total Expense]]</f>
        <v>7.200358932988679E-3</v>
      </c>
    </row>
    <row r="287" spans="1:7">
      <c r="A287" t="s">
        <v>22</v>
      </c>
      <c r="B287" t="s">
        <v>28</v>
      </c>
      <c r="C287">
        <v>2022</v>
      </c>
      <c r="D287">
        <f>TouristExpense[[#This Row],[Year]]+543</f>
        <v>2565</v>
      </c>
      <c r="E287" s="16">
        <v>1007.0600000000001</v>
      </c>
      <c r="F287">
        <v>3.3944699930955267</v>
      </c>
      <c r="G287" s="15">
        <f>TouristExpense[[#This Row],[Medical Expense]]/TouristExpense[[#This Row],[Total Expense]]</f>
        <v>3.3706730414230796E-3</v>
      </c>
    </row>
    <row r="288" spans="1:7">
      <c r="A288" t="s">
        <v>29</v>
      </c>
      <c r="B288" t="s">
        <v>30</v>
      </c>
      <c r="C288">
        <v>2022</v>
      </c>
      <c r="D288">
        <f>TouristExpense[[#This Row],[Year]]+543</f>
        <v>2565</v>
      </c>
      <c r="E288" s="16">
        <v>17420.749999999996</v>
      </c>
      <c r="F288">
        <v>581.77693303755655</v>
      </c>
      <c r="G288" s="15">
        <f>TouristExpense[[#This Row],[Medical Expense]]/TouristExpense[[#This Row],[Total Expense]]</f>
        <v>3.3395630672477174E-2</v>
      </c>
    </row>
    <row r="289" spans="1:7">
      <c r="A289" t="s">
        <v>29</v>
      </c>
      <c r="B289" t="s">
        <v>120</v>
      </c>
      <c r="C289">
        <v>2022</v>
      </c>
      <c r="D289">
        <f>TouristExpense[[#This Row],[Year]]+543</f>
        <v>2565</v>
      </c>
      <c r="E289" s="16">
        <v>2136.02</v>
      </c>
      <c r="F289">
        <v>96.935430455333773</v>
      </c>
      <c r="G289" s="15">
        <f>TouristExpense[[#This Row],[Medical Expense]]/TouristExpense[[#This Row],[Total Expense]]</f>
        <v>4.5381330912320002E-2</v>
      </c>
    </row>
    <row r="290" spans="1:7">
      <c r="A290" t="s">
        <v>29</v>
      </c>
      <c r="B290" t="s">
        <v>32</v>
      </c>
      <c r="C290">
        <v>2022</v>
      </c>
      <c r="D290">
        <f>TouristExpense[[#This Row],[Year]]+543</f>
        <v>2565</v>
      </c>
      <c r="E290" s="16">
        <v>163.19</v>
      </c>
      <c r="F290">
        <v>2.3325265664814574</v>
      </c>
      <c r="G290" s="15">
        <f>TouristExpense[[#This Row],[Medical Expense]]/TouristExpense[[#This Row],[Total Expense]]</f>
        <v>1.4293318012632254E-2</v>
      </c>
    </row>
    <row r="291" spans="1:7">
      <c r="A291" t="s">
        <v>33</v>
      </c>
      <c r="B291" t="s">
        <v>34</v>
      </c>
      <c r="C291">
        <v>2022</v>
      </c>
      <c r="D291">
        <f>TouristExpense[[#This Row],[Year]]+543</f>
        <v>2565</v>
      </c>
      <c r="E291" s="16">
        <v>672.43999999999994</v>
      </c>
      <c r="F291">
        <v>0.3252161329241412</v>
      </c>
      <c r="G291" s="15">
        <f>TouristExpense[[#This Row],[Medical Expense]]/TouristExpense[[#This Row],[Total Expense]]</f>
        <v>4.8363591238495811E-4</v>
      </c>
    </row>
    <row r="292" spans="1:7">
      <c r="A292" t="s">
        <v>33</v>
      </c>
      <c r="B292" t="s">
        <v>35</v>
      </c>
      <c r="C292">
        <v>2022</v>
      </c>
      <c r="D292">
        <f>TouristExpense[[#This Row],[Year]]+543</f>
        <v>2565</v>
      </c>
      <c r="E292" s="16">
        <v>3434.9199999999996</v>
      </c>
      <c r="F292">
        <v>78.894870092140835</v>
      </c>
      <c r="G292" s="15">
        <f>TouristExpense[[#This Row],[Medical Expense]]/TouristExpense[[#This Row],[Total Expense]]</f>
        <v>2.2968473819518605E-2</v>
      </c>
    </row>
    <row r="293" spans="1:7">
      <c r="A293" t="s">
        <v>33</v>
      </c>
      <c r="B293" t="s">
        <v>119</v>
      </c>
      <c r="C293">
        <v>2022</v>
      </c>
      <c r="D293">
        <f>TouristExpense[[#This Row],[Year]]+543</f>
        <v>2565</v>
      </c>
      <c r="E293" s="16">
        <v>7011.5099999999993</v>
      </c>
      <c r="F293">
        <v>47.007086173705915</v>
      </c>
      <c r="G293" s="15">
        <f>TouristExpense[[#This Row],[Medical Expense]]/TouristExpense[[#This Row],[Total Expense]]</f>
        <v>6.7042742823879477E-3</v>
      </c>
    </row>
    <row r="294" spans="1:7">
      <c r="A294" t="s">
        <v>33</v>
      </c>
      <c r="B294" t="s">
        <v>37</v>
      </c>
      <c r="C294">
        <v>2022</v>
      </c>
      <c r="D294">
        <f>TouristExpense[[#This Row],[Year]]+543</f>
        <v>2565</v>
      </c>
      <c r="E294" s="16">
        <v>3416.98</v>
      </c>
      <c r="F294">
        <v>210.18100569432423</v>
      </c>
      <c r="G294" s="15">
        <f>TouristExpense[[#This Row],[Medical Expense]]/TouristExpense[[#This Row],[Total Expense]]</f>
        <v>6.1510750924595473E-2</v>
      </c>
    </row>
    <row r="295" spans="1:7">
      <c r="A295" t="s">
        <v>33</v>
      </c>
      <c r="B295" t="s">
        <v>38</v>
      </c>
      <c r="C295">
        <v>2022</v>
      </c>
      <c r="D295">
        <f>TouristExpense[[#This Row],[Year]]+543</f>
        <v>2565</v>
      </c>
      <c r="E295" s="16">
        <v>7508.6399999999994</v>
      </c>
      <c r="F295">
        <v>465.48373165412454</v>
      </c>
      <c r="G295" s="15">
        <f>TouristExpense[[#This Row],[Medical Expense]]/TouristExpense[[#This Row],[Total Expense]]</f>
        <v>6.1993081523967666E-2</v>
      </c>
    </row>
    <row r="296" spans="1:7">
      <c r="A296" t="s">
        <v>39</v>
      </c>
      <c r="B296" t="s">
        <v>40</v>
      </c>
      <c r="C296">
        <v>2022</v>
      </c>
      <c r="D296">
        <f>TouristExpense[[#This Row],[Year]]+543</f>
        <v>2565</v>
      </c>
      <c r="E296" s="16">
        <v>3474.13</v>
      </c>
      <c r="F296">
        <v>43.327432963640746</v>
      </c>
      <c r="G296" s="15">
        <f>TouristExpense[[#This Row],[Medical Expense]]/TouristExpense[[#This Row],[Total Expense]]</f>
        <v>1.2471448380930117E-2</v>
      </c>
    </row>
    <row r="297" spans="1:7">
      <c r="A297" t="s">
        <v>39</v>
      </c>
      <c r="B297" t="s">
        <v>41</v>
      </c>
      <c r="C297">
        <v>2022</v>
      </c>
      <c r="D297">
        <f>TouristExpense[[#This Row],[Year]]+543</f>
        <v>2565</v>
      </c>
      <c r="E297" s="16">
        <v>2122.0499999999997</v>
      </c>
      <c r="F297">
        <v>7.1112219022550933</v>
      </c>
      <c r="G297" s="15">
        <f>TouristExpense[[#This Row],[Medical Expense]]/TouristExpense[[#This Row],[Total Expense]]</f>
        <v>3.3511094942414621E-3</v>
      </c>
    </row>
    <row r="298" spans="1:7">
      <c r="A298" t="s">
        <v>39</v>
      </c>
      <c r="B298" t="s">
        <v>42</v>
      </c>
      <c r="C298">
        <v>2022</v>
      </c>
      <c r="D298">
        <f>TouristExpense[[#This Row],[Year]]+543</f>
        <v>2565</v>
      </c>
      <c r="E298" s="16">
        <v>3414.24</v>
      </c>
      <c r="F298">
        <v>20.909144148935493</v>
      </c>
      <c r="G298" s="15">
        <f>TouristExpense[[#This Row],[Medical Expense]]/TouristExpense[[#This Row],[Total Expense]]</f>
        <v>6.1240991110570707E-3</v>
      </c>
    </row>
    <row r="299" spans="1:7">
      <c r="A299" t="s">
        <v>39</v>
      </c>
      <c r="B299" t="s">
        <v>43</v>
      </c>
      <c r="C299">
        <v>2022</v>
      </c>
      <c r="D299">
        <f>TouristExpense[[#This Row],[Year]]+543</f>
        <v>2565</v>
      </c>
      <c r="E299" s="16">
        <v>5046.2699999999995</v>
      </c>
      <c r="F299">
        <v>48.83441938083476</v>
      </c>
      <c r="G299" s="15">
        <f>TouristExpense[[#This Row],[Medical Expense]]/TouristExpense[[#This Row],[Total Expense]]</f>
        <v>9.6773298655907763E-3</v>
      </c>
    </row>
    <row r="300" spans="1:7">
      <c r="A300" t="s">
        <v>39</v>
      </c>
      <c r="B300" t="s">
        <v>118</v>
      </c>
      <c r="C300">
        <v>2022</v>
      </c>
      <c r="D300">
        <f>TouristExpense[[#This Row],[Year]]+543</f>
        <v>2565</v>
      </c>
      <c r="E300" s="16">
        <v>26392.53</v>
      </c>
      <c r="F300">
        <v>399.44981411164093</v>
      </c>
      <c r="G300" s="15">
        <f>TouristExpense[[#This Row],[Medical Expense]]/TouristExpense[[#This Row],[Total Expense]]</f>
        <v>1.5134957281914274E-2</v>
      </c>
    </row>
    <row r="301" spans="1:7">
      <c r="A301" t="s">
        <v>45</v>
      </c>
      <c r="B301" t="s">
        <v>46</v>
      </c>
      <c r="C301">
        <v>2022</v>
      </c>
      <c r="D301">
        <f>TouristExpense[[#This Row],[Year]]+543</f>
        <v>2565</v>
      </c>
      <c r="E301" s="16">
        <v>3102.52</v>
      </c>
      <c r="F301">
        <v>86.22959694603739</v>
      </c>
      <c r="G301" s="15">
        <f>TouristExpense[[#This Row],[Medical Expense]]/TouristExpense[[#This Row],[Total Expense]]</f>
        <v>2.7793405665728951E-2</v>
      </c>
    </row>
    <row r="302" spans="1:7">
      <c r="A302" t="s">
        <v>45</v>
      </c>
      <c r="B302" t="s">
        <v>47</v>
      </c>
      <c r="C302">
        <v>2022</v>
      </c>
      <c r="D302">
        <f>TouristExpense[[#This Row],[Year]]+543</f>
        <v>2565</v>
      </c>
      <c r="E302" s="16">
        <v>3443.43</v>
      </c>
      <c r="F302">
        <v>16.83190979529455</v>
      </c>
      <c r="G302" s="15">
        <f>TouristExpense[[#This Row],[Medical Expense]]/TouristExpense[[#This Row],[Total Expense]]</f>
        <v>4.888123120056034E-3</v>
      </c>
    </row>
    <row r="303" spans="1:7">
      <c r="A303" t="s">
        <v>45</v>
      </c>
      <c r="B303" t="s">
        <v>48</v>
      </c>
      <c r="C303">
        <v>2022</v>
      </c>
      <c r="D303">
        <f>TouristExpense[[#This Row],[Year]]+543</f>
        <v>2565</v>
      </c>
      <c r="E303" s="16">
        <v>13078.27</v>
      </c>
      <c r="F303">
        <v>211.10309101317966</v>
      </c>
      <c r="G303" s="15">
        <f>TouristExpense[[#This Row],[Medical Expense]]/TouristExpense[[#This Row],[Total Expense]]</f>
        <v>1.6141514972024561E-2</v>
      </c>
    </row>
    <row r="304" spans="1:7">
      <c r="A304" t="s">
        <v>45</v>
      </c>
      <c r="B304" t="s">
        <v>49</v>
      </c>
      <c r="C304">
        <v>2022</v>
      </c>
      <c r="D304">
        <f>TouristExpense[[#This Row],[Year]]+543</f>
        <v>2565</v>
      </c>
      <c r="E304" s="16">
        <v>18725.269999999997</v>
      </c>
      <c r="F304">
        <v>331.2902608110968</v>
      </c>
      <c r="G304" s="15">
        <f>TouristExpense[[#This Row],[Medical Expense]]/TouristExpense[[#This Row],[Total Expense]]</f>
        <v>1.769214867455032E-2</v>
      </c>
    </row>
    <row r="305" spans="1:7">
      <c r="A305" t="s">
        <v>45</v>
      </c>
      <c r="B305" t="s">
        <v>50</v>
      </c>
      <c r="C305">
        <v>2022</v>
      </c>
      <c r="D305">
        <f>TouristExpense[[#This Row],[Year]]+543</f>
        <v>2565</v>
      </c>
      <c r="E305" s="16">
        <v>11240.82</v>
      </c>
      <c r="F305">
        <v>54.380295875364972</v>
      </c>
      <c r="G305" s="15">
        <f>TouristExpense[[#This Row],[Medical Expense]]/TouristExpense[[#This Row],[Total Expense]]</f>
        <v>4.8377516831836975E-3</v>
      </c>
    </row>
    <row r="306" spans="1:7">
      <c r="A306" t="s">
        <v>45</v>
      </c>
      <c r="B306" t="s">
        <v>51</v>
      </c>
      <c r="C306">
        <v>2022</v>
      </c>
      <c r="D306">
        <f>TouristExpense[[#This Row],[Year]]+543</f>
        <v>2565</v>
      </c>
      <c r="E306" s="16">
        <v>5308.15</v>
      </c>
      <c r="F306">
        <v>34.029763332764247</v>
      </c>
      <c r="G306" s="15">
        <f>TouristExpense[[#This Row],[Medical Expense]]/TouristExpense[[#This Row],[Total Expense]]</f>
        <v>6.4108518660482934E-3</v>
      </c>
    </row>
    <row r="307" spans="1:7">
      <c r="A307" t="s">
        <v>52</v>
      </c>
      <c r="B307" t="s">
        <v>53</v>
      </c>
      <c r="C307">
        <v>2022</v>
      </c>
      <c r="D307">
        <f>TouristExpense[[#This Row],[Year]]+543</f>
        <v>2565</v>
      </c>
      <c r="E307" s="16">
        <v>25923.129999999997</v>
      </c>
      <c r="F307">
        <v>268.14397614485625</v>
      </c>
      <c r="G307" s="15">
        <f>TouristExpense[[#This Row],[Medical Expense]]/TouristExpense[[#This Row],[Total Expense]]</f>
        <v>1.0343811728940767E-2</v>
      </c>
    </row>
    <row r="308" spans="1:7">
      <c r="A308" t="s">
        <v>33</v>
      </c>
      <c r="B308" t="s">
        <v>54</v>
      </c>
      <c r="C308">
        <v>2022</v>
      </c>
      <c r="D308">
        <f>TouristExpense[[#This Row],[Year]]+543</f>
        <v>2565</v>
      </c>
      <c r="E308" s="16">
        <v>10869.73</v>
      </c>
      <c r="F308">
        <v>19.502261131779871</v>
      </c>
      <c r="G308" s="15">
        <f>TouristExpense[[#This Row],[Medical Expense]]/TouristExpense[[#This Row],[Total Expense]]</f>
        <v>1.7941808243424511E-3</v>
      </c>
    </row>
    <row r="309" spans="1:7">
      <c r="A309" t="s">
        <v>55</v>
      </c>
      <c r="B309" t="s">
        <v>56</v>
      </c>
      <c r="C309">
        <v>2022</v>
      </c>
      <c r="D309">
        <f>TouristExpense[[#This Row],[Year]]+543</f>
        <v>2565</v>
      </c>
      <c r="E309" s="16">
        <v>4240.7600000000011</v>
      </c>
      <c r="F309">
        <v>35.402071258775131</v>
      </c>
      <c r="G309" s="15">
        <f>TouristExpense[[#This Row],[Medical Expense]]/TouristExpense[[#This Row],[Total Expense]]</f>
        <v>8.3480487598390669E-3</v>
      </c>
    </row>
    <row r="310" spans="1:7">
      <c r="A310" t="s">
        <v>55</v>
      </c>
      <c r="B310" t="s">
        <v>57</v>
      </c>
      <c r="C310">
        <v>2022</v>
      </c>
      <c r="D310">
        <f>TouristExpense[[#This Row],[Year]]+543</f>
        <v>2565</v>
      </c>
      <c r="E310" s="16">
        <v>5606.9</v>
      </c>
      <c r="F310">
        <v>35.409464240802592</v>
      </c>
      <c r="G310" s="15">
        <f>TouristExpense[[#This Row],[Medical Expense]]/TouristExpense[[#This Row],[Total Expense]]</f>
        <v>6.3153372167869225E-3</v>
      </c>
    </row>
    <row r="311" spans="1:7">
      <c r="A311" t="s">
        <v>58</v>
      </c>
      <c r="B311" t="s">
        <v>59</v>
      </c>
      <c r="C311">
        <v>2022</v>
      </c>
      <c r="D311">
        <f>TouristExpense[[#This Row],[Year]]+543</f>
        <v>2565</v>
      </c>
      <c r="E311" s="16">
        <v>14837.970000000001</v>
      </c>
      <c r="F311">
        <v>87.900778129203928</v>
      </c>
      <c r="G311" s="15">
        <f>TouristExpense[[#This Row],[Medical Expense]]/TouristExpense[[#This Row],[Total Expense]]</f>
        <v>5.9240433920006528E-3</v>
      </c>
    </row>
    <row r="312" spans="1:7">
      <c r="A312" t="s">
        <v>58</v>
      </c>
      <c r="B312" t="s">
        <v>60</v>
      </c>
      <c r="C312">
        <v>2022</v>
      </c>
      <c r="D312">
        <f>TouristExpense[[#This Row],[Year]]+543</f>
        <v>2565</v>
      </c>
      <c r="E312" s="16">
        <v>6156.16</v>
      </c>
      <c r="F312">
        <v>65.362259893944611</v>
      </c>
      <c r="G312" s="15">
        <f>TouristExpense[[#This Row],[Medical Expense]]/TouristExpense[[#This Row],[Total Expense]]</f>
        <v>1.0617375099728502E-2</v>
      </c>
    </row>
    <row r="313" spans="1:7">
      <c r="A313" t="s">
        <v>61</v>
      </c>
      <c r="B313" t="s">
        <v>62</v>
      </c>
      <c r="C313">
        <v>2022</v>
      </c>
      <c r="D313">
        <f>TouristExpense[[#This Row],[Year]]+543</f>
        <v>2565</v>
      </c>
      <c r="E313" s="16">
        <v>4960.75</v>
      </c>
      <c r="F313">
        <v>81.696792871688146</v>
      </c>
      <c r="G313" s="15">
        <f>TouristExpense[[#This Row],[Medical Expense]]/TouristExpense[[#This Row],[Total Expense]]</f>
        <v>1.646863737775299E-2</v>
      </c>
    </row>
    <row r="314" spans="1:7">
      <c r="A314" t="s">
        <v>61</v>
      </c>
      <c r="B314" t="s">
        <v>63</v>
      </c>
      <c r="C314">
        <v>2022</v>
      </c>
      <c r="D314">
        <f>TouristExpense[[#This Row],[Year]]+543</f>
        <v>2565</v>
      </c>
      <c r="E314" s="16">
        <v>21518.99</v>
      </c>
      <c r="F314">
        <v>255.86408638677949</v>
      </c>
      <c r="G314" s="15">
        <f>TouristExpense[[#This Row],[Medical Expense]]/TouristExpense[[#This Row],[Total Expense]]</f>
        <v>1.1890153133896129E-2</v>
      </c>
    </row>
    <row r="315" spans="1:7">
      <c r="A315" t="s">
        <v>61</v>
      </c>
      <c r="B315" t="s">
        <v>64</v>
      </c>
      <c r="C315">
        <v>2022</v>
      </c>
      <c r="D315">
        <f>TouristExpense[[#This Row],[Year]]+543</f>
        <v>2565</v>
      </c>
      <c r="E315" s="16">
        <v>672.65</v>
      </c>
      <c r="F315">
        <v>3.5532524477291831</v>
      </c>
      <c r="G315" s="15">
        <f>TouristExpense[[#This Row],[Medical Expense]]/TouristExpense[[#This Row],[Total Expense]]</f>
        <v>5.2824685166567801E-3</v>
      </c>
    </row>
    <row r="316" spans="1:7">
      <c r="A316" t="s">
        <v>61</v>
      </c>
      <c r="B316" t="s">
        <v>65</v>
      </c>
      <c r="C316">
        <v>2022</v>
      </c>
      <c r="D316">
        <f>TouristExpense[[#This Row],[Year]]+543</f>
        <v>2565</v>
      </c>
      <c r="E316" s="16">
        <v>2045.97</v>
      </c>
      <c r="F316">
        <v>15.574988155941625</v>
      </c>
      <c r="G316" s="15">
        <f>TouristExpense[[#This Row],[Medical Expense]]/TouristExpense[[#This Row],[Total Expense]]</f>
        <v>7.6125202989005825E-3</v>
      </c>
    </row>
    <row r="317" spans="1:7">
      <c r="A317" t="s">
        <v>61</v>
      </c>
      <c r="B317" t="s">
        <v>66</v>
      </c>
      <c r="C317">
        <v>2022</v>
      </c>
      <c r="D317">
        <f>TouristExpense[[#This Row],[Year]]+543</f>
        <v>2565</v>
      </c>
      <c r="E317" s="16">
        <v>1417.5200000000002</v>
      </c>
      <c r="F317">
        <v>5.3183730016982231</v>
      </c>
      <c r="G317" s="15">
        <f>TouristExpense[[#This Row],[Medical Expense]]/TouristExpense[[#This Row],[Total Expense]]</f>
        <v>3.7518856888779152E-3</v>
      </c>
    </row>
    <row r="318" spans="1:7">
      <c r="A318" t="s">
        <v>67</v>
      </c>
      <c r="B318" t="s">
        <v>68</v>
      </c>
      <c r="C318">
        <v>2022</v>
      </c>
      <c r="D318">
        <f>TouristExpense[[#This Row],[Year]]+543</f>
        <v>2565</v>
      </c>
      <c r="E318" s="16">
        <v>1396.4199999999998</v>
      </c>
      <c r="F318">
        <v>9.350858731398084</v>
      </c>
      <c r="G318" s="15">
        <f>TouristExpense[[#This Row],[Medical Expense]]/TouristExpense[[#This Row],[Total Expense]]</f>
        <v>6.6963082248879882E-3</v>
      </c>
    </row>
    <row r="319" spans="1:7">
      <c r="A319" t="s">
        <v>67</v>
      </c>
      <c r="B319" t="s">
        <v>69</v>
      </c>
      <c r="C319">
        <v>2022</v>
      </c>
      <c r="D319">
        <f>TouristExpense[[#This Row],[Year]]+543</f>
        <v>2565</v>
      </c>
      <c r="E319" s="16">
        <v>1757.9700000000003</v>
      </c>
      <c r="F319">
        <v>62.183118653564613</v>
      </c>
      <c r="G319" s="15">
        <f>TouristExpense[[#This Row],[Medical Expense]]/TouristExpense[[#This Row],[Total Expense]]</f>
        <v>3.5372115936884364E-2</v>
      </c>
    </row>
    <row r="320" spans="1:7">
      <c r="A320" t="s">
        <v>5</v>
      </c>
      <c r="B320" t="s">
        <v>6</v>
      </c>
      <c r="C320">
        <v>2023</v>
      </c>
      <c r="D320">
        <f>TouristExpense[[#This Row],[Year]]+543</f>
        <v>2566</v>
      </c>
      <c r="E320" s="16">
        <v>583.45000000000005</v>
      </c>
      <c r="F320">
        <v>3.69</v>
      </c>
      <c r="G320" s="15">
        <f>TouristExpense[[#This Row],[Medical Expense]]/TouristExpense[[#This Row],[Total Expense]]</f>
        <v>6.3244493958351184E-3</v>
      </c>
    </row>
    <row r="321" spans="1:7">
      <c r="A321" t="s">
        <v>5</v>
      </c>
      <c r="B321" t="s">
        <v>7</v>
      </c>
      <c r="C321">
        <v>2023</v>
      </c>
      <c r="D321">
        <f>TouristExpense[[#This Row],[Year]]+543</f>
        <v>2566</v>
      </c>
      <c r="E321" s="16">
        <v>15548.94</v>
      </c>
      <c r="F321" s="17">
        <v>1516.42</v>
      </c>
      <c r="G321" s="15">
        <f>TouristExpense[[#This Row],[Medical Expense]]/TouristExpense[[#This Row],[Total Expense]]</f>
        <v>9.7525619109727096E-2</v>
      </c>
    </row>
    <row r="322" spans="1:7">
      <c r="A322" t="s">
        <v>5</v>
      </c>
      <c r="B322" t="s">
        <v>8</v>
      </c>
      <c r="C322">
        <v>2023</v>
      </c>
      <c r="D322">
        <f>TouristExpense[[#This Row],[Year]]+543</f>
        <v>2566</v>
      </c>
      <c r="E322" s="16">
        <v>26345.74</v>
      </c>
      <c r="F322">
        <v>688.54</v>
      </c>
      <c r="G322" s="15">
        <f>TouristExpense[[#This Row],[Medical Expense]]/TouristExpense[[#This Row],[Total Expense]]</f>
        <v>2.613477548932009E-2</v>
      </c>
    </row>
    <row r="323" spans="1:7">
      <c r="A323" t="s">
        <v>5</v>
      </c>
      <c r="B323" t="s">
        <v>9</v>
      </c>
      <c r="C323">
        <v>2023</v>
      </c>
      <c r="D323">
        <f>TouristExpense[[#This Row],[Year]]+543</f>
        <v>2566</v>
      </c>
      <c r="E323" s="16">
        <v>7353.58</v>
      </c>
      <c r="F323">
        <v>797.77</v>
      </c>
      <c r="G323" s="15">
        <f>TouristExpense[[#This Row],[Medical Expense]]/TouristExpense[[#This Row],[Total Expense]]</f>
        <v>0.10848729462384307</v>
      </c>
    </row>
    <row r="324" spans="1:7">
      <c r="A324" t="s">
        <v>5</v>
      </c>
      <c r="B324" t="s">
        <v>10</v>
      </c>
      <c r="C324">
        <v>2023</v>
      </c>
      <c r="D324">
        <f>TouristExpense[[#This Row],[Year]]+543</f>
        <v>2566</v>
      </c>
      <c r="E324" s="16">
        <v>93584.79</v>
      </c>
      <c r="F324" s="17">
        <v>1823.03</v>
      </c>
      <c r="G324" s="15">
        <f>TouristExpense[[#This Row],[Medical Expense]]/TouristExpense[[#This Row],[Total Expense]]</f>
        <v>1.9479981736348396E-2</v>
      </c>
    </row>
    <row r="325" spans="1:7">
      <c r="A325" t="s">
        <v>5</v>
      </c>
      <c r="B325" t="s">
        <v>11</v>
      </c>
      <c r="C325">
        <v>2023</v>
      </c>
      <c r="D325">
        <f>TouristExpense[[#This Row],[Year]]+543</f>
        <v>2566</v>
      </c>
      <c r="E325" s="16">
        <v>15802.78</v>
      </c>
      <c r="F325" s="17">
        <v>1496.67</v>
      </c>
      <c r="G325" s="15">
        <f>TouristExpense[[#This Row],[Medical Expense]]/TouristExpense[[#This Row],[Total Expense]]</f>
        <v>9.4709285328277687E-2</v>
      </c>
    </row>
    <row r="326" spans="1:7">
      <c r="A326" t="s">
        <v>5</v>
      </c>
      <c r="B326" t="s">
        <v>12</v>
      </c>
      <c r="C326">
        <v>2023</v>
      </c>
      <c r="D326">
        <f>TouristExpense[[#This Row],[Year]]+543</f>
        <v>2566</v>
      </c>
      <c r="E326" s="16">
        <v>16346.11</v>
      </c>
      <c r="F326">
        <v>11.73</v>
      </c>
      <c r="G326" s="15">
        <f>TouristExpense[[#This Row],[Medical Expense]]/TouristExpense[[#This Row],[Total Expense]]</f>
        <v>7.1760192486163379E-4</v>
      </c>
    </row>
    <row r="327" spans="1:7">
      <c r="A327" t="s">
        <v>5</v>
      </c>
      <c r="B327" t="s">
        <v>13</v>
      </c>
      <c r="C327">
        <v>2023</v>
      </c>
      <c r="D327">
        <f>TouristExpense[[#This Row],[Year]]+543</f>
        <v>2566</v>
      </c>
      <c r="E327" s="16">
        <v>49758.6</v>
      </c>
      <c r="F327" s="17">
        <v>1017.35</v>
      </c>
      <c r="G327" s="15">
        <f>TouristExpense[[#This Row],[Medical Expense]]/TouristExpense[[#This Row],[Total Expense]]</f>
        <v>2.0445711897038903E-2</v>
      </c>
    </row>
    <row r="328" spans="1:7">
      <c r="A328" t="s">
        <v>5</v>
      </c>
      <c r="B328" t="s">
        <v>14</v>
      </c>
      <c r="C328">
        <v>2023</v>
      </c>
      <c r="D328">
        <f>TouristExpense[[#This Row],[Year]]+543</f>
        <v>2566</v>
      </c>
      <c r="E328" s="16">
        <v>35465.18</v>
      </c>
      <c r="F328">
        <v>408.45</v>
      </c>
      <c r="G328" s="15">
        <f>TouristExpense[[#This Row],[Medical Expense]]/TouristExpense[[#This Row],[Total Expense]]</f>
        <v>1.1516930126958329E-2</v>
      </c>
    </row>
    <row r="329" spans="1:7">
      <c r="A329" t="s">
        <v>15</v>
      </c>
      <c r="B329" t="s">
        <v>16</v>
      </c>
      <c r="C329">
        <v>2023</v>
      </c>
      <c r="D329">
        <f>TouristExpense[[#This Row],[Year]]+543</f>
        <v>2566</v>
      </c>
      <c r="E329" s="16">
        <v>193996.09</v>
      </c>
      <c r="F329">
        <v>93.24</v>
      </c>
      <c r="G329" s="15">
        <f>TouristExpense[[#This Row],[Medical Expense]]/TouristExpense[[#This Row],[Total Expense]]</f>
        <v>4.806282435898579E-4</v>
      </c>
    </row>
    <row r="330" spans="1:7">
      <c r="A330" t="s">
        <v>15</v>
      </c>
      <c r="B330" t="s">
        <v>17</v>
      </c>
      <c r="C330">
        <v>2023</v>
      </c>
      <c r="D330">
        <f>TouristExpense[[#This Row],[Year]]+543</f>
        <v>2566</v>
      </c>
      <c r="E330" s="16">
        <v>38678.26</v>
      </c>
      <c r="F330">
        <v>168.29</v>
      </c>
      <c r="G330" s="15">
        <f>TouristExpense[[#This Row],[Medical Expense]]/TouristExpense[[#This Row],[Total Expense]]</f>
        <v>4.3510230294744384E-3</v>
      </c>
    </row>
    <row r="331" spans="1:7">
      <c r="A331" t="s">
        <v>15</v>
      </c>
      <c r="B331" t="s">
        <v>18</v>
      </c>
      <c r="C331">
        <v>2023</v>
      </c>
      <c r="D331">
        <f>TouristExpense[[#This Row],[Year]]+543</f>
        <v>2566</v>
      </c>
      <c r="E331" s="16">
        <v>35243.56</v>
      </c>
      <c r="F331">
        <v>542.51</v>
      </c>
      <c r="G331" s="15">
        <f>TouristExpense[[#This Row],[Medical Expense]]/TouristExpense[[#This Row],[Total Expense]]</f>
        <v>1.5393166865095355E-2</v>
      </c>
    </row>
    <row r="332" spans="1:7">
      <c r="A332" t="s">
        <v>15</v>
      </c>
      <c r="B332" t="s">
        <v>19</v>
      </c>
      <c r="C332">
        <v>2023</v>
      </c>
      <c r="D332">
        <f>TouristExpense[[#This Row],[Year]]+543</f>
        <v>2566</v>
      </c>
      <c r="E332" s="16">
        <v>67201.119999999995</v>
      </c>
      <c r="F332" s="17">
        <v>2248.96</v>
      </c>
      <c r="G332" s="15">
        <f>TouristExpense[[#This Row],[Medical Expense]]/TouristExpense[[#This Row],[Total Expense]]</f>
        <v>3.3466108898185035E-2</v>
      </c>
    </row>
    <row r="333" spans="1:7">
      <c r="A333" t="s">
        <v>15</v>
      </c>
      <c r="B333" t="s">
        <v>122</v>
      </c>
      <c r="C333">
        <v>2023</v>
      </c>
      <c r="D333">
        <f>TouristExpense[[#This Row],[Year]]+543</f>
        <v>2566</v>
      </c>
      <c r="E333" s="16">
        <v>1534.4</v>
      </c>
      <c r="F333" s="17">
        <v>7.2</v>
      </c>
      <c r="G333" s="15">
        <f>TouristExpense[[#This Row],[Medical Expense]]/TouristExpense[[#This Row],[Total Expense]]</f>
        <v>4.6923879040667357E-3</v>
      </c>
    </row>
    <row r="334" spans="1:7">
      <c r="A334" t="s">
        <v>15</v>
      </c>
      <c r="B334" t="s">
        <v>72</v>
      </c>
      <c r="C334">
        <v>2023</v>
      </c>
      <c r="D334">
        <f>TouristExpense[[#This Row],[Year]]+543</f>
        <v>2566</v>
      </c>
      <c r="E334" s="16">
        <v>1387.53</v>
      </c>
      <c r="F334" s="17">
        <v>12.81</v>
      </c>
      <c r="G334" s="15">
        <f>TouristExpense[[#This Row],[Medical Expense]]/TouristExpense[[#This Row],[Total Expense]]</f>
        <v>9.2322328165877505E-3</v>
      </c>
    </row>
    <row r="335" spans="1:7">
      <c r="A335" t="s">
        <v>15</v>
      </c>
      <c r="B335" t="s">
        <v>20</v>
      </c>
      <c r="C335">
        <v>2023</v>
      </c>
      <c r="D335">
        <f>TouristExpense[[#This Row],[Year]]+543</f>
        <v>2566</v>
      </c>
      <c r="E335" s="16">
        <v>32991.839999999997</v>
      </c>
      <c r="F335" s="17">
        <v>1442.59</v>
      </c>
      <c r="G335" s="15">
        <f>TouristExpense[[#This Row],[Medical Expense]]/TouristExpense[[#This Row],[Total Expense]]</f>
        <v>4.3725660648208771E-2</v>
      </c>
    </row>
    <row r="336" spans="1:7">
      <c r="A336" t="s">
        <v>22</v>
      </c>
      <c r="B336" t="s">
        <v>23</v>
      </c>
      <c r="C336">
        <v>2023</v>
      </c>
      <c r="D336">
        <f>TouristExpense[[#This Row],[Year]]+543</f>
        <v>2566</v>
      </c>
      <c r="E336" s="16">
        <v>7439.43</v>
      </c>
      <c r="F336">
        <v>302.29000000000002</v>
      </c>
      <c r="G336" s="15">
        <f>TouristExpense[[#This Row],[Medical Expense]]/TouristExpense[[#This Row],[Total Expense]]</f>
        <v>4.0633489393676669E-2</v>
      </c>
    </row>
    <row r="337" spans="1:7">
      <c r="A337" t="s">
        <v>22</v>
      </c>
      <c r="B337" t="s">
        <v>73</v>
      </c>
      <c r="C337">
        <v>2023</v>
      </c>
      <c r="D337">
        <f>TouristExpense[[#This Row],[Year]]+543</f>
        <v>2566</v>
      </c>
      <c r="E337" s="16">
        <v>786.18</v>
      </c>
      <c r="F337">
        <v>2.52</v>
      </c>
      <c r="G337" s="15">
        <f>TouristExpense[[#This Row],[Medical Expense]]/TouristExpense[[#This Row],[Total Expense]]</f>
        <v>3.2053728153857899E-3</v>
      </c>
    </row>
    <row r="338" spans="1:7">
      <c r="A338" t="s">
        <v>22</v>
      </c>
      <c r="B338" t="s">
        <v>24</v>
      </c>
      <c r="C338">
        <v>2023</v>
      </c>
      <c r="D338">
        <f>TouristExpense[[#This Row],[Year]]+543</f>
        <v>2566</v>
      </c>
      <c r="E338" s="16">
        <v>62220.28</v>
      </c>
      <c r="F338">
        <v>781.88</v>
      </c>
      <c r="G338" s="15">
        <f>TouristExpense[[#This Row],[Medical Expense]]/TouristExpense[[#This Row],[Total Expense]]</f>
        <v>1.256632082015703E-2</v>
      </c>
    </row>
    <row r="339" spans="1:7">
      <c r="A339" t="s">
        <v>22</v>
      </c>
      <c r="B339" t="s">
        <v>74</v>
      </c>
      <c r="C339">
        <v>2023</v>
      </c>
      <c r="D339">
        <f>TouristExpense[[#This Row],[Year]]+543</f>
        <v>2566</v>
      </c>
      <c r="E339" s="16">
        <v>3289.62</v>
      </c>
      <c r="F339">
        <v>0</v>
      </c>
      <c r="G339" s="15">
        <f>TouristExpense[[#This Row],[Medical Expense]]/TouristExpense[[#This Row],[Total Expense]]</f>
        <v>0</v>
      </c>
    </row>
    <row r="340" spans="1:7">
      <c r="A340" t="s">
        <v>22</v>
      </c>
      <c r="B340" t="s">
        <v>75</v>
      </c>
      <c r="C340">
        <v>2023</v>
      </c>
      <c r="D340">
        <f>TouristExpense[[#This Row],[Year]]+543</f>
        <v>2566</v>
      </c>
      <c r="E340" s="16">
        <v>1309.52</v>
      </c>
      <c r="F340">
        <v>2.35</v>
      </c>
      <c r="G340" s="15">
        <f>TouristExpense[[#This Row],[Medical Expense]]/TouristExpense[[#This Row],[Total Expense]]</f>
        <v>1.7945506750565094E-3</v>
      </c>
    </row>
    <row r="341" spans="1:7">
      <c r="A341" t="s">
        <v>22</v>
      </c>
      <c r="B341" t="s">
        <v>25</v>
      </c>
      <c r="C341">
        <v>2023</v>
      </c>
      <c r="D341">
        <f>TouristExpense[[#This Row],[Year]]+543</f>
        <v>2566</v>
      </c>
      <c r="E341" s="16">
        <v>1116.55</v>
      </c>
      <c r="F341">
        <v>0</v>
      </c>
      <c r="G341" s="15">
        <f>TouristExpense[[#This Row],[Medical Expense]]/TouristExpense[[#This Row],[Total Expense]]</f>
        <v>0</v>
      </c>
    </row>
    <row r="342" spans="1:7">
      <c r="A342" t="s">
        <v>22</v>
      </c>
      <c r="B342" t="s">
        <v>26</v>
      </c>
      <c r="C342">
        <v>2023</v>
      </c>
      <c r="D342">
        <f>TouristExpense[[#This Row],[Year]]+543</f>
        <v>2566</v>
      </c>
      <c r="E342" s="16">
        <v>3266.17</v>
      </c>
      <c r="F342">
        <v>0.5</v>
      </c>
      <c r="G342" s="15">
        <f>TouristExpense[[#This Row],[Medical Expense]]/TouristExpense[[#This Row],[Total Expense]]</f>
        <v>1.5308449958207932E-4</v>
      </c>
    </row>
    <row r="343" spans="1:7">
      <c r="A343" t="s">
        <v>22</v>
      </c>
      <c r="B343" t="s">
        <v>27</v>
      </c>
      <c r="C343">
        <v>2023</v>
      </c>
      <c r="D343">
        <f>TouristExpense[[#This Row],[Year]]+543</f>
        <v>2566</v>
      </c>
      <c r="E343" s="16">
        <v>1359.2</v>
      </c>
      <c r="F343">
        <v>1.34</v>
      </c>
      <c r="G343" s="15">
        <f>TouristExpense[[#This Row],[Medical Expense]]/TouristExpense[[#This Row],[Total Expense]]</f>
        <v>9.8587404355503249E-4</v>
      </c>
    </row>
    <row r="344" spans="1:7">
      <c r="A344" t="s">
        <v>121</v>
      </c>
      <c r="B344" t="s">
        <v>121</v>
      </c>
      <c r="C344">
        <v>2023</v>
      </c>
      <c r="D344">
        <f>TouristExpense[[#This Row],[Year]]+543</f>
        <v>2566</v>
      </c>
      <c r="E344" s="16">
        <v>45.22</v>
      </c>
      <c r="F344">
        <v>0.08</v>
      </c>
      <c r="G344" s="15">
        <f>TouristExpense[[#This Row],[Medical Expense]]/TouristExpense[[#This Row],[Total Expense]]</f>
        <v>1.7691287041132243E-3</v>
      </c>
    </row>
    <row r="345" spans="1:7">
      <c r="A345" t="s">
        <v>29</v>
      </c>
      <c r="B345" t="s">
        <v>30</v>
      </c>
      <c r="C345">
        <v>2023</v>
      </c>
      <c r="D345">
        <f>TouristExpense[[#This Row],[Year]]+543</f>
        <v>2566</v>
      </c>
      <c r="E345" s="16">
        <v>39562.199999999997</v>
      </c>
      <c r="F345" s="17">
        <v>3009.04</v>
      </c>
      <c r="G345" s="15">
        <f>TouristExpense[[#This Row],[Medical Expense]]/TouristExpense[[#This Row],[Total Expense]]</f>
        <v>7.605845984298143E-2</v>
      </c>
    </row>
    <row r="346" spans="1:7">
      <c r="A346" t="s">
        <v>29</v>
      </c>
      <c r="B346" t="s">
        <v>120</v>
      </c>
      <c r="C346">
        <v>2023</v>
      </c>
      <c r="D346">
        <f>TouristExpense[[#This Row],[Year]]+543</f>
        <v>2566</v>
      </c>
      <c r="E346" s="16">
        <v>5759.77</v>
      </c>
      <c r="F346">
        <v>306.04000000000002</v>
      </c>
      <c r="G346" s="15">
        <f>TouristExpense[[#This Row],[Medical Expense]]/TouristExpense[[#This Row],[Total Expense]]</f>
        <v>5.3134066117223433E-2</v>
      </c>
    </row>
    <row r="347" spans="1:7">
      <c r="A347" t="s">
        <v>29</v>
      </c>
      <c r="B347" t="s">
        <v>32</v>
      </c>
      <c r="C347">
        <v>2023</v>
      </c>
      <c r="D347">
        <f>TouristExpense[[#This Row],[Year]]+543</f>
        <v>2566</v>
      </c>
      <c r="E347" s="16">
        <v>212.74</v>
      </c>
      <c r="F347">
        <v>3.36</v>
      </c>
      <c r="G347" s="15">
        <f>TouristExpense[[#This Row],[Medical Expense]]/TouristExpense[[#This Row],[Total Expense]]</f>
        <v>1.5793926859076806E-2</v>
      </c>
    </row>
    <row r="348" spans="1:7">
      <c r="A348" t="s">
        <v>33</v>
      </c>
      <c r="B348" t="s">
        <v>78</v>
      </c>
      <c r="C348">
        <v>2023</v>
      </c>
      <c r="D348">
        <f>TouristExpense[[#This Row],[Year]]+543</f>
        <v>2566</v>
      </c>
      <c r="E348" s="16">
        <v>2030.85</v>
      </c>
      <c r="F348">
        <v>0</v>
      </c>
      <c r="G348" s="15">
        <f>TouristExpense[[#This Row],[Medical Expense]]/TouristExpense[[#This Row],[Total Expense]]</f>
        <v>0</v>
      </c>
    </row>
    <row r="349" spans="1:7">
      <c r="A349" t="s">
        <v>33</v>
      </c>
      <c r="B349" t="s">
        <v>34</v>
      </c>
      <c r="C349">
        <v>2023</v>
      </c>
      <c r="D349">
        <f>TouristExpense[[#This Row],[Year]]+543</f>
        <v>2566</v>
      </c>
      <c r="E349" s="16">
        <v>991.57</v>
      </c>
      <c r="F349">
        <v>0</v>
      </c>
      <c r="G349" s="15">
        <f>TouristExpense[[#This Row],[Medical Expense]]/TouristExpense[[#This Row],[Total Expense]]</f>
        <v>0</v>
      </c>
    </row>
    <row r="350" spans="1:7">
      <c r="A350" t="s">
        <v>33</v>
      </c>
      <c r="B350" t="s">
        <v>79</v>
      </c>
      <c r="C350">
        <v>2023</v>
      </c>
      <c r="D350">
        <f>TouristExpense[[#This Row],[Year]]+543</f>
        <v>2566</v>
      </c>
      <c r="E350" s="16">
        <v>294.47000000000003</v>
      </c>
      <c r="F350">
        <v>0</v>
      </c>
      <c r="G350" s="15">
        <f>TouristExpense[[#This Row],[Medical Expense]]/TouristExpense[[#This Row],[Total Expense]]</f>
        <v>0</v>
      </c>
    </row>
    <row r="351" spans="1:7">
      <c r="A351" t="s">
        <v>33</v>
      </c>
      <c r="B351" t="s">
        <v>80</v>
      </c>
      <c r="C351">
        <v>2023</v>
      </c>
      <c r="D351">
        <f>TouristExpense[[#This Row],[Year]]+543</f>
        <v>2566</v>
      </c>
      <c r="E351" s="16">
        <v>699.58</v>
      </c>
      <c r="F351">
        <v>17.72</v>
      </c>
      <c r="G351" s="15">
        <f>TouristExpense[[#This Row],[Medical Expense]]/TouristExpense[[#This Row],[Total Expense]]</f>
        <v>2.5329483404328307E-2</v>
      </c>
    </row>
    <row r="352" spans="1:7">
      <c r="A352" t="s">
        <v>33</v>
      </c>
      <c r="B352" t="s">
        <v>35</v>
      </c>
      <c r="C352">
        <v>2023</v>
      </c>
      <c r="D352">
        <f>TouristExpense[[#This Row],[Year]]+543</f>
        <v>2566</v>
      </c>
      <c r="E352" s="16">
        <v>6416.3</v>
      </c>
      <c r="F352">
        <v>101.84</v>
      </c>
      <c r="G352" s="15">
        <f>TouristExpense[[#This Row],[Medical Expense]]/TouristExpense[[#This Row],[Total Expense]]</f>
        <v>1.5872075806929228E-2</v>
      </c>
    </row>
    <row r="353" spans="1:7">
      <c r="A353" t="s">
        <v>33</v>
      </c>
      <c r="B353" t="s">
        <v>81</v>
      </c>
      <c r="C353">
        <v>2023</v>
      </c>
      <c r="D353">
        <f>TouristExpense[[#This Row],[Year]]+543</f>
        <v>2566</v>
      </c>
      <c r="E353" s="16">
        <v>241.57</v>
      </c>
      <c r="F353">
        <v>5.89</v>
      </c>
      <c r="G353" s="15">
        <f>TouristExpense[[#This Row],[Medical Expense]]/TouristExpense[[#This Row],[Total Expense]]</f>
        <v>2.4382166659767356E-2</v>
      </c>
    </row>
    <row r="354" spans="1:7">
      <c r="A354" t="s">
        <v>33</v>
      </c>
      <c r="B354" t="s">
        <v>82</v>
      </c>
      <c r="C354">
        <v>2023</v>
      </c>
      <c r="D354">
        <f>TouristExpense[[#This Row],[Year]]+543</f>
        <v>2566</v>
      </c>
      <c r="E354" s="16">
        <v>5557.48</v>
      </c>
      <c r="F354">
        <v>115.32</v>
      </c>
      <c r="G354" s="15">
        <f>TouristExpense[[#This Row],[Medical Expense]]/TouristExpense[[#This Row],[Total Expense]]</f>
        <v>2.0750412057263364E-2</v>
      </c>
    </row>
    <row r="355" spans="1:7">
      <c r="A355" t="s">
        <v>33</v>
      </c>
      <c r="B355" t="s">
        <v>83</v>
      </c>
      <c r="C355">
        <v>2023</v>
      </c>
      <c r="D355">
        <f>TouristExpense[[#This Row],[Year]]+543</f>
        <v>2566</v>
      </c>
      <c r="E355" s="16">
        <v>3403.11</v>
      </c>
      <c r="F355">
        <v>0</v>
      </c>
      <c r="G355" s="15">
        <f>TouristExpense[[#This Row],[Medical Expense]]/TouristExpense[[#This Row],[Total Expense]]</f>
        <v>0</v>
      </c>
    </row>
    <row r="356" spans="1:7">
      <c r="A356" t="s">
        <v>33</v>
      </c>
      <c r="B356" t="s">
        <v>119</v>
      </c>
      <c r="C356">
        <v>2023</v>
      </c>
      <c r="D356">
        <f>TouristExpense[[#This Row],[Year]]+543</f>
        <v>2566</v>
      </c>
      <c r="E356" s="16">
        <v>12493.16</v>
      </c>
      <c r="F356">
        <v>93.21</v>
      </c>
      <c r="G356" s="15">
        <f>TouristExpense[[#This Row],[Medical Expense]]/TouristExpense[[#This Row],[Total Expense]]</f>
        <v>7.4608825949559598E-3</v>
      </c>
    </row>
    <row r="357" spans="1:7">
      <c r="A357" t="s">
        <v>33</v>
      </c>
      <c r="B357" t="s">
        <v>37</v>
      </c>
      <c r="C357">
        <v>2023</v>
      </c>
      <c r="D357">
        <f>TouristExpense[[#This Row],[Year]]+543</f>
        <v>2566</v>
      </c>
      <c r="E357" s="16">
        <v>10036.370000000001</v>
      </c>
      <c r="F357">
        <v>581.89</v>
      </c>
      <c r="G357" s="15">
        <f>TouristExpense[[#This Row],[Medical Expense]]/TouristExpense[[#This Row],[Total Expense]]</f>
        <v>5.7978133528357359E-2</v>
      </c>
    </row>
    <row r="358" spans="1:7">
      <c r="A358" t="s">
        <v>33</v>
      </c>
      <c r="B358" t="s">
        <v>84</v>
      </c>
      <c r="C358">
        <v>2023</v>
      </c>
      <c r="D358">
        <f>TouristExpense[[#This Row],[Year]]+543</f>
        <v>2566</v>
      </c>
      <c r="E358" s="16">
        <v>544.80999999999995</v>
      </c>
      <c r="F358">
        <v>4.08</v>
      </c>
      <c r="G358" s="15">
        <f>TouristExpense[[#This Row],[Medical Expense]]/TouristExpense[[#This Row],[Total Expense]]</f>
        <v>7.4888493236174086E-3</v>
      </c>
    </row>
    <row r="359" spans="1:7">
      <c r="A359" t="s">
        <v>33</v>
      </c>
      <c r="B359" t="s">
        <v>38</v>
      </c>
      <c r="C359">
        <v>2023</v>
      </c>
      <c r="D359">
        <f>TouristExpense[[#This Row],[Year]]+543</f>
        <v>2566</v>
      </c>
      <c r="E359" s="16">
        <v>638.51</v>
      </c>
      <c r="F359">
        <v>22.85</v>
      </c>
      <c r="G359" s="15">
        <f>TouristExpense[[#This Row],[Medical Expense]]/TouristExpense[[#This Row],[Total Expense]]</f>
        <v>3.5786440306338194E-2</v>
      </c>
    </row>
    <row r="360" spans="1:7">
      <c r="A360" t="s">
        <v>39</v>
      </c>
      <c r="B360" t="s">
        <v>40</v>
      </c>
      <c r="C360">
        <v>2023</v>
      </c>
      <c r="D360">
        <f>TouristExpense[[#This Row],[Year]]+543</f>
        <v>2566</v>
      </c>
      <c r="E360" s="16">
        <v>6736.37</v>
      </c>
      <c r="F360">
        <v>94.45</v>
      </c>
      <c r="G360" s="15">
        <f>TouristExpense[[#This Row],[Medical Expense]]/TouristExpense[[#This Row],[Total Expense]]</f>
        <v>1.4020904433693518E-2</v>
      </c>
    </row>
    <row r="361" spans="1:7">
      <c r="A361" t="s">
        <v>39</v>
      </c>
      <c r="B361" t="s">
        <v>41</v>
      </c>
      <c r="C361">
        <v>2023</v>
      </c>
      <c r="D361">
        <f>TouristExpense[[#This Row],[Year]]+543</f>
        <v>2566</v>
      </c>
      <c r="E361" s="16">
        <v>6400.48</v>
      </c>
      <c r="F361">
        <v>19.09</v>
      </c>
      <c r="G361" s="15">
        <f>TouristExpense[[#This Row],[Medical Expense]]/TouristExpense[[#This Row],[Total Expense]]</f>
        <v>2.9825888058395622E-3</v>
      </c>
    </row>
    <row r="362" spans="1:7">
      <c r="A362" t="s">
        <v>39</v>
      </c>
      <c r="B362" t="s">
        <v>85</v>
      </c>
      <c r="C362">
        <v>2023</v>
      </c>
      <c r="D362">
        <f>TouristExpense[[#This Row],[Year]]+543</f>
        <v>2566</v>
      </c>
      <c r="E362" s="16">
        <v>332.29</v>
      </c>
      <c r="F362">
        <v>0</v>
      </c>
      <c r="G362" s="15">
        <f>TouristExpense[[#This Row],[Medical Expense]]/TouristExpense[[#This Row],[Total Expense]]</f>
        <v>0</v>
      </c>
    </row>
    <row r="363" spans="1:7">
      <c r="A363" t="s">
        <v>39</v>
      </c>
      <c r="B363" t="s">
        <v>86</v>
      </c>
      <c r="C363">
        <v>2023</v>
      </c>
      <c r="D363">
        <f>TouristExpense[[#This Row],[Year]]+543</f>
        <v>2566</v>
      </c>
      <c r="E363" s="16">
        <v>5581.81</v>
      </c>
      <c r="F363">
        <v>127.62</v>
      </c>
      <c r="G363" s="15">
        <f>TouristExpense[[#This Row],[Medical Expense]]/TouristExpense[[#This Row],[Total Expense]]</f>
        <v>2.2863551428658445E-2</v>
      </c>
    </row>
    <row r="364" spans="1:7">
      <c r="A364" t="s">
        <v>39</v>
      </c>
      <c r="B364" t="s">
        <v>42</v>
      </c>
      <c r="C364">
        <v>2023</v>
      </c>
      <c r="D364">
        <f>TouristExpense[[#This Row],[Year]]+543</f>
        <v>2566</v>
      </c>
      <c r="E364" s="16">
        <v>7180.74</v>
      </c>
      <c r="F364">
        <v>210.46</v>
      </c>
      <c r="G364" s="15">
        <f>TouristExpense[[#This Row],[Medical Expense]]/TouristExpense[[#This Row],[Total Expense]]</f>
        <v>2.9308957015572214E-2</v>
      </c>
    </row>
    <row r="365" spans="1:7">
      <c r="A365" t="s">
        <v>39</v>
      </c>
      <c r="B365" t="s">
        <v>43</v>
      </c>
      <c r="C365">
        <v>2023</v>
      </c>
      <c r="D365">
        <f>TouristExpense[[#This Row],[Year]]+543</f>
        <v>2566</v>
      </c>
      <c r="E365" s="16">
        <v>12339.09</v>
      </c>
      <c r="F365">
        <v>253.03</v>
      </c>
      <c r="G365" s="15">
        <f>TouristExpense[[#This Row],[Medical Expense]]/TouristExpense[[#This Row],[Total Expense]]</f>
        <v>2.0506374457111506E-2</v>
      </c>
    </row>
    <row r="366" spans="1:7">
      <c r="A366" t="s">
        <v>39</v>
      </c>
      <c r="B366" t="s">
        <v>118</v>
      </c>
      <c r="C366">
        <v>2023</v>
      </c>
      <c r="D366">
        <f>TouristExpense[[#This Row],[Year]]+543</f>
        <v>2566</v>
      </c>
      <c r="E366" s="16">
        <v>57204.91</v>
      </c>
      <c r="F366">
        <v>773.45</v>
      </c>
      <c r="G366" s="15">
        <f>TouristExpense[[#This Row],[Medical Expense]]/TouristExpense[[#This Row],[Total Expense]]</f>
        <v>1.3520692541951382E-2</v>
      </c>
    </row>
    <row r="367" spans="1:7">
      <c r="A367" t="s">
        <v>45</v>
      </c>
      <c r="B367" t="s">
        <v>46</v>
      </c>
      <c r="C367">
        <v>2023</v>
      </c>
      <c r="D367">
        <f>TouristExpense[[#This Row],[Year]]+543</f>
        <v>2566</v>
      </c>
      <c r="E367" s="16">
        <v>5548.63</v>
      </c>
      <c r="F367">
        <v>85.44</v>
      </c>
      <c r="G367" s="15">
        <f>TouristExpense[[#This Row],[Medical Expense]]/TouristExpense[[#This Row],[Total Expense]]</f>
        <v>1.5398395640004829E-2</v>
      </c>
    </row>
    <row r="368" spans="1:7">
      <c r="A368" t="s">
        <v>45</v>
      </c>
      <c r="B368" t="s">
        <v>47</v>
      </c>
      <c r="C368">
        <v>2023</v>
      </c>
      <c r="D368">
        <f>TouristExpense[[#This Row],[Year]]+543</f>
        <v>2566</v>
      </c>
      <c r="E368" s="16">
        <v>6974.33</v>
      </c>
      <c r="F368">
        <v>189.82</v>
      </c>
      <c r="G368" s="15">
        <f>TouristExpense[[#This Row],[Medical Expense]]/TouristExpense[[#This Row],[Total Expense]]</f>
        <v>2.721695130571682E-2</v>
      </c>
    </row>
    <row r="369" spans="1:7">
      <c r="A369" t="s">
        <v>45</v>
      </c>
      <c r="B369" t="s">
        <v>48</v>
      </c>
      <c r="C369">
        <v>2023</v>
      </c>
      <c r="D369">
        <f>TouristExpense[[#This Row],[Year]]+543</f>
        <v>2566</v>
      </c>
      <c r="E369" s="16">
        <v>32528.65</v>
      </c>
      <c r="F369">
        <v>323.08999999999997</v>
      </c>
      <c r="G369" s="15">
        <f>TouristExpense[[#This Row],[Medical Expense]]/TouristExpense[[#This Row],[Total Expense]]</f>
        <v>9.9324749105788278E-3</v>
      </c>
    </row>
    <row r="370" spans="1:7">
      <c r="A370" t="s">
        <v>45</v>
      </c>
      <c r="B370" t="s">
        <v>49</v>
      </c>
      <c r="C370">
        <v>2023</v>
      </c>
      <c r="D370">
        <f>TouristExpense[[#This Row],[Year]]+543</f>
        <v>2566</v>
      </c>
      <c r="E370" s="16">
        <v>42621.68</v>
      </c>
      <c r="F370">
        <v>375.07</v>
      </c>
      <c r="G370" s="15">
        <f>TouristExpense[[#This Row],[Medical Expense]]/TouristExpense[[#This Row],[Total Expense]]</f>
        <v>8.7999816056054097E-3</v>
      </c>
    </row>
    <row r="371" spans="1:7">
      <c r="A371" t="s">
        <v>45</v>
      </c>
      <c r="B371" t="s">
        <v>87</v>
      </c>
      <c r="C371">
        <v>2023</v>
      </c>
      <c r="D371">
        <f>TouristExpense[[#This Row],[Year]]+543</f>
        <v>2566</v>
      </c>
      <c r="E371" s="16">
        <v>292.02999999999997</v>
      </c>
      <c r="F371">
        <v>3.27</v>
      </c>
      <c r="G371" s="15">
        <f>TouristExpense[[#This Row],[Medical Expense]]/TouristExpense[[#This Row],[Total Expense]]</f>
        <v>1.1197479710988598E-2</v>
      </c>
    </row>
    <row r="372" spans="1:7">
      <c r="A372" t="s">
        <v>45</v>
      </c>
      <c r="B372" t="s">
        <v>50</v>
      </c>
      <c r="C372">
        <v>2023</v>
      </c>
      <c r="D372">
        <f>TouristExpense[[#This Row],[Year]]+543</f>
        <v>2566</v>
      </c>
      <c r="E372" s="16">
        <v>15494.11</v>
      </c>
      <c r="F372">
        <v>129.63</v>
      </c>
      <c r="G372" s="15">
        <f>TouristExpense[[#This Row],[Medical Expense]]/TouristExpense[[#This Row],[Total Expense]]</f>
        <v>8.3664050403669515E-3</v>
      </c>
    </row>
    <row r="373" spans="1:7">
      <c r="A373" t="s">
        <v>45</v>
      </c>
      <c r="B373" t="s">
        <v>51</v>
      </c>
      <c r="C373">
        <v>2023</v>
      </c>
      <c r="D373">
        <f>TouristExpense[[#This Row],[Year]]+543</f>
        <v>2566</v>
      </c>
      <c r="E373" s="16">
        <v>11135.64</v>
      </c>
      <c r="F373">
        <v>91.63</v>
      </c>
      <c r="G373" s="15">
        <f>TouristExpense[[#This Row],[Medical Expense]]/TouristExpense[[#This Row],[Total Expense]]</f>
        <v>8.2285346868253648E-3</v>
      </c>
    </row>
    <row r="374" spans="1:7">
      <c r="A374" t="s">
        <v>52</v>
      </c>
      <c r="B374" t="s">
        <v>88</v>
      </c>
      <c r="C374">
        <v>2023</v>
      </c>
      <c r="D374">
        <f>TouristExpense[[#This Row],[Year]]+543</f>
        <v>2566</v>
      </c>
      <c r="E374" s="16">
        <v>701.81</v>
      </c>
      <c r="F374">
        <v>9.4</v>
      </c>
      <c r="G374" s="15">
        <f>TouristExpense[[#This Row],[Medical Expense]]/TouristExpense[[#This Row],[Total Expense]]</f>
        <v>1.339393853037147E-2</v>
      </c>
    </row>
    <row r="375" spans="1:7">
      <c r="A375" t="s">
        <v>52</v>
      </c>
      <c r="B375" t="s">
        <v>89</v>
      </c>
      <c r="C375">
        <v>2023</v>
      </c>
      <c r="D375">
        <f>TouristExpense[[#This Row],[Year]]+543</f>
        <v>2566</v>
      </c>
      <c r="E375" s="16">
        <v>575.08000000000004</v>
      </c>
      <c r="F375">
        <v>17.05</v>
      </c>
      <c r="G375" s="15">
        <f>TouristExpense[[#This Row],[Medical Expense]]/TouristExpense[[#This Row],[Total Expense]]</f>
        <v>2.964804896710023E-2</v>
      </c>
    </row>
    <row r="376" spans="1:7">
      <c r="A376" t="s">
        <v>52</v>
      </c>
      <c r="B376" t="s">
        <v>90</v>
      </c>
      <c r="C376">
        <v>2023</v>
      </c>
      <c r="D376">
        <f>TouristExpense[[#This Row],[Year]]+543</f>
        <v>2566</v>
      </c>
      <c r="E376" s="16">
        <v>3206.11</v>
      </c>
      <c r="F376">
        <v>50.38</v>
      </c>
      <c r="G376" s="15">
        <f>TouristExpense[[#This Row],[Medical Expense]]/TouristExpense[[#This Row],[Total Expense]]</f>
        <v>1.5713746565152162E-2</v>
      </c>
    </row>
    <row r="377" spans="1:7">
      <c r="A377" t="s">
        <v>52</v>
      </c>
      <c r="B377" t="s">
        <v>91</v>
      </c>
      <c r="C377">
        <v>2023</v>
      </c>
      <c r="D377">
        <f>TouristExpense[[#This Row],[Year]]+543</f>
        <v>2566</v>
      </c>
      <c r="E377" s="16">
        <v>960.66</v>
      </c>
      <c r="F377">
        <v>18.63</v>
      </c>
      <c r="G377" s="15">
        <f>TouristExpense[[#This Row],[Medical Expense]]/TouristExpense[[#This Row],[Total Expense]]</f>
        <v>1.93929173693086E-2</v>
      </c>
    </row>
    <row r="378" spans="1:7">
      <c r="A378" t="s">
        <v>52</v>
      </c>
      <c r="B378" t="s">
        <v>92</v>
      </c>
      <c r="C378">
        <v>2023</v>
      </c>
      <c r="D378">
        <f>TouristExpense[[#This Row],[Year]]+543</f>
        <v>2566</v>
      </c>
      <c r="E378" s="16">
        <v>1737.18</v>
      </c>
      <c r="F378">
        <v>179.2</v>
      </c>
      <c r="G378" s="15">
        <f>TouristExpense[[#This Row],[Medical Expense]]/TouristExpense[[#This Row],[Total Expense]]</f>
        <v>0.10315568910533161</v>
      </c>
    </row>
    <row r="379" spans="1:7">
      <c r="A379" t="s">
        <v>52</v>
      </c>
      <c r="B379" t="s">
        <v>93</v>
      </c>
      <c r="C379">
        <v>2023</v>
      </c>
      <c r="D379">
        <f>TouristExpense[[#This Row],[Year]]+543</f>
        <v>2566</v>
      </c>
      <c r="E379" s="16">
        <v>7672.68</v>
      </c>
      <c r="F379">
        <v>202.48</v>
      </c>
      <c r="G379" s="15">
        <f>TouristExpense[[#This Row],[Medical Expense]]/TouristExpense[[#This Row],[Total Expense]]</f>
        <v>2.6389736050506471E-2</v>
      </c>
    </row>
    <row r="380" spans="1:7">
      <c r="A380" t="s">
        <v>52</v>
      </c>
      <c r="B380" t="s">
        <v>94</v>
      </c>
      <c r="C380">
        <v>2023</v>
      </c>
      <c r="D380">
        <f>TouristExpense[[#This Row],[Year]]+543</f>
        <v>2566</v>
      </c>
      <c r="E380" s="16">
        <v>211.2</v>
      </c>
      <c r="F380">
        <v>3.4</v>
      </c>
      <c r="G380" s="15">
        <f>TouristExpense[[#This Row],[Medical Expense]]/TouristExpense[[#This Row],[Total Expense]]</f>
        <v>1.6098484848484848E-2</v>
      </c>
    </row>
    <row r="381" spans="1:7">
      <c r="A381" t="s">
        <v>52</v>
      </c>
      <c r="B381" t="s">
        <v>95</v>
      </c>
      <c r="C381">
        <v>2023</v>
      </c>
      <c r="D381">
        <f>TouristExpense[[#This Row],[Year]]+543</f>
        <v>2566</v>
      </c>
      <c r="E381" s="16">
        <v>796.54</v>
      </c>
      <c r="F381">
        <v>6.35</v>
      </c>
      <c r="G381" s="15">
        <f>TouristExpense[[#This Row],[Medical Expense]]/TouristExpense[[#This Row],[Total Expense]]</f>
        <v>7.971978808346096E-3</v>
      </c>
    </row>
    <row r="382" spans="1:7">
      <c r="A382" t="s">
        <v>52</v>
      </c>
      <c r="B382" t="s">
        <v>96</v>
      </c>
      <c r="C382">
        <v>2023</v>
      </c>
      <c r="D382">
        <f>TouristExpense[[#This Row],[Year]]+543</f>
        <v>2566</v>
      </c>
      <c r="E382" s="16">
        <v>1368.86</v>
      </c>
      <c r="F382">
        <v>19.97</v>
      </c>
      <c r="G382" s="15">
        <f>TouristExpense[[#This Row],[Medical Expense]]/TouristExpense[[#This Row],[Total Expense]]</f>
        <v>1.4588781906111655E-2</v>
      </c>
    </row>
    <row r="383" spans="1:7">
      <c r="A383" t="s">
        <v>52</v>
      </c>
      <c r="B383" t="s">
        <v>97</v>
      </c>
      <c r="C383">
        <v>2023</v>
      </c>
      <c r="D383">
        <f>TouristExpense[[#This Row],[Year]]+543</f>
        <v>2566</v>
      </c>
      <c r="E383" s="16">
        <v>7161.26</v>
      </c>
      <c r="F383">
        <v>655.35</v>
      </c>
      <c r="G383" s="15">
        <f>TouristExpense[[#This Row],[Medical Expense]]/TouristExpense[[#This Row],[Total Expense]]</f>
        <v>9.1513225326269404E-2</v>
      </c>
    </row>
    <row r="384" spans="1:7">
      <c r="A384" t="s">
        <v>52</v>
      </c>
      <c r="B384" t="s">
        <v>98</v>
      </c>
      <c r="C384">
        <v>2023</v>
      </c>
      <c r="D384">
        <f>TouristExpense[[#This Row],[Year]]+543</f>
        <v>2566</v>
      </c>
      <c r="E384" s="16">
        <v>1922.89</v>
      </c>
      <c r="F384">
        <v>49.43</v>
      </c>
      <c r="G384" s="15">
        <f>TouristExpense[[#This Row],[Medical Expense]]/TouristExpense[[#This Row],[Total Expense]]</f>
        <v>2.5706098632787104E-2</v>
      </c>
    </row>
    <row r="385" spans="1:7">
      <c r="A385" t="s">
        <v>52</v>
      </c>
      <c r="B385" t="s">
        <v>53</v>
      </c>
      <c r="C385">
        <v>2023</v>
      </c>
      <c r="D385">
        <f>TouristExpense[[#This Row],[Year]]+543</f>
        <v>2566</v>
      </c>
      <c r="E385" s="16">
        <v>85324.09</v>
      </c>
      <c r="F385" s="17">
        <v>2119.0300000000002</v>
      </c>
      <c r="G385" s="15">
        <f>TouristExpense[[#This Row],[Medical Expense]]/TouristExpense[[#This Row],[Total Expense]]</f>
        <v>2.4835072955363489E-2</v>
      </c>
    </row>
    <row r="386" spans="1:7">
      <c r="A386" t="s">
        <v>52</v>
      </c>
      <c r="B386" t="s">
        <v>99</v>
      </c>
      <c r="C386">
        <v>2023</v>
      </c>
      <c r="D386">
        <f>TouristExpense[[#This Row],[Year]]+543</f>
        <v>2566</v>
      </c>
      <c r="E386" s="16">
        <v>1141.3499999999999</v>
      </c>
      <c r="F386">
        <v>13.24</v>
      </c>
      <c r="G386" s="15">
        <f>TouristExpense[[#This Row],[Medical Expense]]/TouristExpense[[#This Row],[Total Expense]]</f>
        <v>1.1600297892846192E-2</v>
      </c>
    </row>
    <row r="387" spans="1:7">
      <c r="A387" t="s">
        <v>52</v>
      </c>
      <c r="B387" t="s">
        <v>100</v>
      </c>
      <c r="C387">
        <v>2023</v>
      </c>
      <c r="D387">
        <f>TouristExpense[[#This Row],[Year]]+543</f>
        <v>2566</v>
      </c>
      <c r="E387" s="16">
        <v>2686.09</v>
      </c>
      <c r="F387">
        <v>41.45</v>
      </c>
      <c r="G387" s="15">
        <f>TouristExpense[[#This Row],[Medical Expense]]/TouristExpense[[#This Row],[Total Expense]]</f>
        <v>1.543135189066636E-2</v>
      </c>
    </row>
    <row r="388" spans="1:7">
      <c r="A388" t="s">
        <v>52</v>
      </c>
      <c r="B388" t="s">
        <v>101</v>
      </c>
      <c r="C388">
        <v>2023</v>
      </c>
      <c r="D388">
        <f>TouristExpense[[#This Row],[Year]]+543</f>
        <v>2566</v>
      </c>
      <c r="E388" s="16">
        <v>1274.68</v>
      </c>
      <c r="F388">
        <v>15.07</v>
      </c>
      <c r="G388" s="15">
        <f>TouristExpense[[#This Row],[Medical Expense]]/TouristExpense[[#This Row],[Total Expense]]</f>
        <v>1.182257507766655E-2</v>
      </c>
    </row>
    <row r="389" spans="1:7">
      <c r="A389" t="s">
        <v>55</v>
      </c>
      <c r="B389" t="s">
        <v>102</v>
      </c>
      <c r="C389">
        <v>2023</v>
      </c>
      <c r="D389">
        <f>TouristExpense[[#This Row],[Year]]+543</f>
        <v>2566</v>
      </c>
      <c r="E389" s="16">
        <v>428.13</v>
      </c>
      <c r="F389">
        <v>4.63</v>
      </c>
      <c r="G389" s="15">
        <f>TouristExpense[[#This Row],[Medical Expense]]/TouristExpense[[#This Row],[Total Expense]]</f>
        <v>1.0814472239740266E-2</v>
      </c>
    </row>
    <row r="390" spans="1:7">
      <c r="A390" t="s">
        <v>55</v>
      </c>
      <c r="B390" t="s">
        <v>103</v>
      </c>
      <c r="C390">
        <v>2023</v>
      </c>
      <c r="D390">
        <f>TouristExpense[[#This Row],[Year]]+543</f>
        <v>2566</v>
      </c>
      <c r="E390" s="16">
        <v>137.94999999999999</v>
      </c>
      <c r="F390">
        <v>1.85</v>
      </c>
      <c r="G390" s="15">
        <f>TouristExpense[[#This Row],[Medical Expense]]/TouristExpense[[#This Row],[Total Expense]]</f>
        <v>1.3410656034795217E-2</v>
      </c>
    </row>
    <row r="391" spans="1:7">
      <c r="A391" t="s">
        <v>55</v>
      </c>
      <c r="B391" t="s">
        <v>104</v>
      </c>
      <c r="C391">
        <v>2023</v>
      </c>
      <c r="D391">
        <f>TouristExpense[[#This Row],[Year]]+543</f>
        <v>2566</v>
      </c>
      <c r="E391" s="16">
        <v>876.67</v>
      </c>
      <c r="F391">
        <v>11.67</v>
      </c>
      <c r="G391" s="15">
        <f>TouristExpense[[#This Row],[Medical Expense]]/TouristExpense[[#This Row],[Total Expense]]</f>
        <v>1.3311736457275828E-2</v>
      </c>
    </row>
    <row r="392" spans="1:7">
      <c r="A392" t="s">
        <v>55</v>
      </c>
      <c r="B392" t="s">
        <v>54</v>
      </c>
      <c r="C392">
        <v>2023</v>
      </c>
      <c r="D392">
        <f>TouristExpense[[#This Row],[Year]]+543</f>
        <v>2566</v>
      </c>
      <c r="E392" s="16">
        <v>18760.21</v>
      </c>
      <c r="F392">
        <v>317.04000000000002</v>
      </c>
      <c r="G392" s="15">
        <f>TouristExpense[[#This Row],[Medical Expense]]/TouristExpense[[#This Row],[Total Expense]]</f>
        <v>1.6899597605783731E-2</v>
      </c>
    </row>
    <row r="393" spans="1:7">
      <c r="A393" t="s">
        <v>55</v>
      </c>
      <c r="B393" t="s">
        <v>56</v>
      </c>
      <c r="C393">
        <v>2023</v>
      </c>
      <c r="D393">
        <f>TouristExpense[[#This Row],[Year]]+543</f>
        <v>2566</v>
      </c>
      <c r="E393" s="16">
        <v>10235.69</v>
      </c>
      <c r="F393">
        <v>352.14</v>
      </c>
      <c r="G393" s="15">
        <f>TouristExpense[[#This Row],[Medical Expense]]/TouristExpense[[#This Row],[Total Expense]]</f>
        <v>3.4403152107967315E-2</v>
      </c>
    </row>
    <row r="394" spans="1:7">
      <c r="A394" t="s">
        <v>55</v>
      </c>
      <c r="B394" t="s">
        <v>105</v>
      </c>
      <c r="C394">
        <v>2023</v>
      </c>
      <c r="D394">
        <f>TouristExpense[[#This Row],[Year]]+543</f>
        <v>2566</v>
      </c>
      <c r="E394" s="16">
        <v>1945.66</v>
      </c>
      <c r="F394">
        <v>30.91</v>
      </c>
      <c r="G394" s="15">
        <f>TouristExpense[[#This Row],[Medical Expense]]/TouristExpense[[#This Row],[Total Expense]]</f>
        <v>1.5886640009045772E-2</v>
      </c>
    </row>
    <row r="395" spans="1:7">
      <c r="A395" t="s">
        <v>55</v>
      </c>
      <c r="B395" t="s">
        <v>106</v>
      </c>
      <c r="C395">
        <v>2023</v>
      </c>
      <c r="D395">
        <f>TouristExpense[[#This Row],[Year]]+543</f>
        <v>2566</v>
      </c>
      <c r="E395" s="16">
        <v>436.72</v>
      </c>
      <c r="F395">
        <v>8.23</v>
      </c>
      <c r="G395" s="15">
        <f>TouristExpense[[#This Row],[Medical Expense]]/TouristExpense[[#This Row],[Total Expense]]</f>
        <v>1.8845026561641325E-2</v>
      </c>
    </row>
    <row r="396" spans="1:7">
      <c r="A396" t="s">
        <v>55</v>
      </c>
      <c r="B396" t="s">
        <v>107</v>
      </c>
      <c r="C396">
        <v>2023</v>
      </c>
      <c r="D396">
        <f>TouristExpense[[#This Row],[Year]]+543</f>
        <v>2566</v>
      </c>
      <c r="E396" s="16">
        <v>583.30999999999995</v>
      </c>
      <c r="F396">
        <v>4.97</v>
      </c>
      <c r="G396" s="15">
        <f>TouristExpense[[#This Row],[Medical Expense]]/TouristExpense[[#This Row],[Total Expense]]</f>
        <v>8.5203408136325463E-3</v>
      </c>
    </row>
    <row r="397" spans="1:7">
      <c r="A397" t="s">
        <v>55</v>
      </c>
      <c r="B397" t="s">
        <v>57</v>
      </c>
      <c r="C397">
        <v>2023</v>
      </c>
      <c r="D397">
        <f>TouristExpense[[#This Row],[Year]]+543</f>
        <v>2566</v>
      </c>
      <c r="E397" s="16">
        <v>7346.29</v>
      </c>
      <c r="F397">
        <v>58.82</v>
      </c>
      <c r="G397" s="15">
        <f>TouristExpense[[#This Row],[Medical Expense]]/TouristExpense[[#This Row],[Total Expense]]</f>
        <v>8.0067625971749004E-3</v>
      </c>
    </row>
    <row r="398" spans="1:7">
      <c r="A398" t="s">
        <v>55</v>
      </c>
      <c r="B398" t="s">
        <v>108</v>
      </c>
      <c r="C398">
        <v>2023</v>
      </c>
      <c r="D398">
        <f>TouristExpense[[#This Row],[Year]]+543</f>
        <v>2566</v>
      </c>
      <c r="E398" s="16">
        <v>2434.5300000000002</v>
      </c>
      <c r="F398">
        <v>42.4</v>
      </c>
      <c r="G398" s="15">
        <f>TouristExpense[[#This Row],[Medical Expense]]/TouristExpense[[#This Row],[Total Expense]]</f>
        <v>1.7416092633896478E-2</v>
      </c>
    </row>
    <row r="399" spans="1:7">
      <c r="A399" t="s">
        <v>58</v>
      </c>
      <c r="B399" t="s">
        <v>60</v>
      </c>
      <c r="C399">
        <v>2023</v>
      </c>
      <c r="D399">
        <f>TouristExpense[[#This Row],[Year]]+543</f>
        <v>2566</v>
      </c>
      <c r="E399" s="16">
        <v>1005.18</v>
      </c>
      <c r="F399">
        <v>6.18</v>
      </c>
      <c r="G399" s="15">
        <f>TouristExpense[[#This Row],[Medical Expense]]/TouristExpense[[#This Row],[Total Expense]]</f>
        <v>6.1481525696890109E-3</v>
      </c>
    </row>
    <row r="400" spans="1:7">
      <c r="A400" t="s">
        <v>61</v>
      </c>
      <c r="B400" t="s">
        <v>62</v>
      </c>
      <c r="C400">
        <v>2023</v>
      </c>
      <c r="D400">
        <f>TouristExpense[[#This Row],[Year]]+543</f>
        <v>2566</v>
      </c>
      <c r="E400" s="16">
        <v>14612.37</v>
      </c>
      <c r="F400">
        <v>470.79</v>
      </c>
      <c r="G400" s="15">
        <f>TouristExpense[[#This Row],[Medical Expense]]/TouristExpense[[#This Row],[Total Expense]]</f>
        <v>3.2218592877130817E-2</v>
      </c>
    </row>
    <row r="401" spans="1:7">
      <c r="A401" t="s">
        <v>61</v>
      </c>
      <c r="B401" t="s">
        <v>109</v>
      </c>
      <c r="C401">
        <v>2023</v>
      </c>
      <c r="D401">
        <f>TouristExpense[[#This Row],[Year]]+543</f>
        <v>2566</v>
      </c>
      <c r="E401" s="16">
        <v>1171.8699999999999</v>
      </c>
      <c r="F401">
        <v>11.16</v>
      </c>
      <c r="G401" s="15">
        <f>TouristExpense[[#This Row],[Medical Expense]]/TouristExpense[[#This Row],[Total Expense]]</f>
        <v>9.5232406324933655E-3</v>
      </c>
    </row>
    <row r="402" spans="1:7">
      <c r="A402" t="s">
        <v>61</v>
      </c>
      <c r="B402" t="s">
        <v>63</v>
      </c>
      <c r="C402">
        <v>2023</v>
      </c>
      <c r="D402">
        <f>TouristExpense[[#This Row],[Year]]+543</f>
        <v>2566</v>
      </c>
      <c r="E402" s="16">
        <v>48603.66</v>
      </c>
      <c r="F402">
        <v>542.58000000000004</v>
      </c>
      <c r="G402" s="15">
        <f>TouristExpense[[#This Row],[Medical Expense]]/TouristExpense[[#This Row],[Total Expense]]</f>
        <v>1.1163356833621171E-2</v>
      </c>
    </row>
    <row r="403" spans="1:7">
      <c r="A403" t="s">
        <v>61</v>
      </c>
      <c r="B403" t="s">
        <v>64</v>
      </c>
      <c r="C403">
        <v>2023</v>
      </c>
      <c r="D403">
        <f>TouristExpense[[#This Row],[Year]]+543</f>
        <v>2566</v>
      </c>
      <c r="E403" s="16">
        <v>1305.1400000000001</v>
      </c>
      <c r="F403">
        <v>0</v>
      </c>
      <c r="G403" s="15">
        <f>TouristExpense[[#This Row],[Medical Expense]]/TouristExpense[[#This Row],[Total Expense]]</f>
        <v>0</v>
      </c>
    </row>
    <row r="404" spans="1:7">
      <c r="A404" t="s">
        <v>61</v>
      </c>
      <c r="B404" t="s">
        <v>65</v>
      </c>
      <c r="C404">
        <v>2023</v>
      </c>
      <c r="D404">
        <f>TouristExpense[[#This Row],[Year]]+543</f>
        <v>2566</v>
      </c>
      <c r="E404" s="16">
        <v>2686.27</v>
      </c>
      <c r="F404">
        <v>1.45</v>
      </c>
      <c r="G404" s="15">
        <f>TouristExpense[[#This Row],[Medical Expense]]/TouristExpense[[#This Row],[Total Expense]]</f>
        <v>5.3978192810104722E-4</v>
      </c>
    </row>
    <row r="405" spans="1:7">
      <c r="A405" t="s">
        <v>61</v>
      </c>
      <c r="B405" t="s">
        <v>110</v>
      </c>
      <c r="C405">
        <v>2023</v>
      </c>
      <c r="D405">
        <f>TouristExpense[[#This Row],[Year]]+543</f>
        <v>2566</v>
      </c>
      <c r="E405" s="16">
        <v>643.17999999999995</v>
      </c>
      <c r="F405">
        <v>6.79</v>
      </c>
      <c r="G405" s="15">
        <f>TouristExpense[[#This Row],[Medical Expense]]/TouristExpense[[#This Row],[Total Expense]]</f>
        <v>1.0556920302248205E-2</v>
      </c>
    </row>
    <row r="406" spans="1:7">
      <c r="A406" t="s">
        <v>61</v>
      </c>
      <c r="B406" t="s">
        <v>111</v>
      </c>
      <c r="C406">
        <v>2023</v>
      </c>
      <c r="D406">
        <f>TouristExpense[[#This Row],[Year]]+543</f>
        <v>2566</v>
      </c>
      <c r="E406" s="16">
        <v>329.77</v>
      </c>
      <c r="F406">
        <v>17.32</v>
      </c>
      <c r="G406" s="15">
        <f>TouristExpense[[#This Row],[Medical Expense]]/TouristExpense[[#This Row],[Total Expense]]</f>
        <v>5.2521454346969101E-2</v>
      </c>
    </row>
    <row r="407" spans="1:7">
      <c r="A407" t="s">
        <v>61</v>
      </c>
      <c r="B407" t="s">
        <v>112</v>
      </c>
      <c r="C407">
        <v>2023</v>
      </c>
      <c r="D407">
        <f>TouristExpense[[#This Row],[Year]]+543</f>
        <v>2566</v>
      </c>
      <c r="E407" s="16">
        <v>298.32</v>
      </c>
      <c r="F407">
        <v>4.6900000000000004</v>
      </c>
      <c r="G407" s="15">
        <f>TouristExpense[[#This Row],[Medical Expense]]/TouristExpense[[#This Row],[Total Expense]]</f>
        <v>1.572137302225798E-2</v>
      </c>
    </row>
    <row r="408" spans="1:7">
      <c r="A408" t="s">
        <v>61</v>
      </c>
      <c r="B408" t="s">
        <v>113</v>
      </c>
      <c r="C408">
        <v>2023</v>
      </c>
      <c r="D408">
        <f>TouristExpense[[#This Row],[Year]]+543</f>
        <v>2566</v>
      </c>
      <c r="E408" s="16">
        <v>144.5</v>
      </c>
      <c r="F408">
        <v>2.2000000000000002</v>
      </c>
      <c r="G408" s="15">
        <f>TouristExpense[[#This Row],[Medical Expense]]/TouristExpense[[#This Row],[Total Expense]]</f>
        <v>1.5224913494809689E-2</v>
      </c>
    </row>
    <row r="409" spans="1:7">
      <c r="A409" t="s">
        <v>61</v>
      </c>
      <c r="B409" t="s">
        <v>66</v>
      </c>
      <c r="C409">
        <v>2023</v>
      </c>
      <c r="D409">
        <f>TouristExpense[[#This Row],[Year]]+543</f>
        <v>2566</v>
      </c>
      <c r="E409" s="16">
        <v>532.55999999999995</v>
      </c>
      <c r="F409">
        <v>1.04</v>
      </c>
      <c r="G409" s="15">
        <f>TouristExpense[[#This Row],[Medical Expense]]/TouristExpense[[#This Row],[Total Expense]]</f>
        <v>1.9528316058284516E-3</v>
      </c>
    </row>
    <row r="410" spans="1:7">
      <c r="A410" t="s">
        <v>67</v>
      </c>
      <c r="B410" t="s">
        <v>114</v>
      </c>
      <c r="C410">
        <v>2023</v>
      </c>
      <c r="D410">
        <f>TouristExpense[[#This Row],[Year]]+543</f>
        <v>2566</v>
      </c>
      <c r="E410" s="16">
        <v>472.51</v>
      </c>
      <c r="F410">
        <v>25.29</v>
      </c>
      <c r="G410" s="15">
        <f>TouristExpense[[#This Row],[Medical Expense]]/TouristExpense[[#This Row],[Total Expense]]</f>
        <v>5.3522676768745635E-2</v>
      </c>
    </row>
    <row r="411" spans="1:7">
      <c r="A411" t="s">
        <v>67</v>
      </c>
      <c r="B411" t="s">
        <v>68</v>
      </c>
      <c r="C411">
        <v>2023</v>
      </c>
      <c r="D411">
        <f>TouristExpense[[#This Row],[Year]]+543</f>
        <v>2566</v>
      </c>
      <c r="E411" s="16">
        <v>2835.63</v>
      </c>
      <c r="F411">
        <v>309.51</v>
      </c>
      <c r="G411" s="15">
        <f>TouristExpense[[#This Row],[Medical Expense]]/TouristExpense[[#This Row],[Total Expense]]</f>
        <v>0.1091503475418161</v>
      </c>
    </row>
    <row r="412" spans="1:7">
      <c r="A412" t="s">
        <v>67</v>
      </c>
      <c r="B412" t="s">
        <v>115</v>
      </c>
      <c r="C412">
        <v>2023</v>
      </c>
      <c r="D412">
        <f>TouristExpense[[#This Row],[Year]]+543</f>
        <v>2566</v>
      </c>
      <c r="E412" s="16">
        <v>642.94000000000005</v>
      </c>
      <c r="F412">
        <v>0</v>
      </c>
      <c r="G412" s="15">
        <f>TouristExpense[[#This Row],[Medical Expense]]/TouristExpense[[#This Row],[Total Expense]]</f>
        <v>0</v>
      </c>
    </row>
    <row r="413" spans="1:7">
      <c r="A413" t="s">
        <v>67</v>
      </c>
      <c r="B413" t="s">
        <v>116</v>
      </c>
      <c r="C413">
        <v>2023</v>
      </c>
      <c r="D413">
        <f>TouristExpense[[#This Row],[Year]]+543</f>
        <v>2566</v>
      </c>
      <c r="E413" s="16">
        <v>199.21</v>
      </c>
      <c r="F413">
        <v>8.93</v>
      </c>
      <c r="G413" s="15">
        <f>TouristExpense[[#This Row],[Medical Expense]]/TouristExpense[[#This Row],[Total Expense]]</f>
        <v>4.4827066914311528E-2</v>
      </c>
    </row>
    <row r="414" spans="1:7">
      <c r="A414" t="s">
        <v>67</v>
      </c>
      <c r="B414" t="s">
        <v>117</v>
      </c>
      <c r="C414">
        <v>2023</v>
      </c>
      <c r="D414">
        <f>TouristExpense[[#This Row],[Year]]+543</f>
        <v>2566</v>
      </c>
      <c r="E414" s="16">
        <v>439.51</v>
      </c>
      <c r="F414">
        <v>18.739999999999998</v>
      </c>
      <c r="G414" s="15">
        <f>TouristExpense[[#This Row],[Medical Expense]]/TouristExpense[[#This Row],[Total Expense]]</f>
        <v>4.2638392755568702E-2</v>
      </c>
    </row>
    <row r="415" spans="1:7">
      <c r="A415" t="s">
        <v>67</v>
      </c>
      <c r="B415" t="s">
        <v>69</v>
      </c>
      <c r="C415">
        <v>2023</v>
      </c>
      <c r="D415">
        <f>TouristExpense[[#This Row],[Year]]+543</f>
        <v>2566</v>
      </c>
      <c r="E415" s="16">
        <v>1343.79</v>
      </c>
      <c r="F415">
        <v>80.39</v>
      </c>
      <c r="G415" s="15">
        <f>TouristExpense[[#This Row],[Medical Expense]]/TouristExpense[[#This Row],[Total Expense]]</f>
        <v>5.9823335491408627E-2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Tourist-Number-Data</vt:lpstr>
      <vt:lpstr>Tourist-Expense-Data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Dittaya Wanvarie</dc:creator>
  <cp:lastModifiedBy>Dittaya Wanvarie</cp:lastModifiedBy>
  <dcterms:created xsi:type="dcterms:W3CDTF">2026-06-20T09:15:40Z</dcterms:created>
  <dcterms:modified xsi:type="dcterms:W3CDTF">2026-06-20T09:17:17Z</dcterms:modified>
</cp:coreProperties>
</file>